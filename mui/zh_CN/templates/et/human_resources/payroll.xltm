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模板处理\"/>
    </mc:Choice>
  </mc:AlternateContent>
  <bookViews>
    <workbookView xWindow="0" yWindow="0" windowWidth="28800" windowHeight="12450"/>
  </bookViews>
  <sheets>
    <sheet name="工资表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4" i="1" l="1"/>
  <c r="M14" i="1"/>
  <c r="J14" i="1"/>
  <c r="I14" i="1"/>
  <c r="H14" i="1"/>
  <c r="G14" i="1"/>
  <c r="E14" i="1"/>
  <c r="D14" i="1"/>
  <c r="L13" i="1"/>
  <c r="F13" i="1"/>
  <c r="O13" i="1" s="1"/>
  <c r="L12" i="1"/>
  <c r="F12" i="1"/>
  <c r="O12" i="1" s="1"/>
  <c r="O11" i="1"/>
  <c r="L11" i="1"/>
  <c r="F11" i="1"/>
  <c r="L10" i="1"/>
  <c r="O10" i="1" s="1"/>
  <c r="F10" i="1"/>
  <c r="L9" i="1"/>
  <c r="F9" i="1"/>
  <c r="O9" i="1" s="1"/>
  <c r="L8" i="1"/>
  <c r="F8" i="1"/>
  <c r="O8" i="1" s="1"/>
  <c r="O7" i="1"/>
  <c r="L7" i="1"/>
  <c r="F7" i="1"/>
  <c r="L6" i="1"/>
  <c r="O6" i="1" s="1"/>
  <c r="F6" i="1"/>
  <c r="L5" i="1"/>
  <c r="F5" i="1"/>
  <c r="O5" i="1" s="1"/>
  <c r="F4" i="1"/>
  <c r="K4" i="1" s="1"/>
  <c r="K14" i="1" l="1"/>
  <c r="L4" i="1"/>
  <c r="L14" i="1" s="1"/>
  <c r="F14" i="1"/>
  <c r="O4" i="1"/>
  <c r="O14" i="1" s="1"/>
</calcChain>
</file>

<file path=xl/sharedStrings.xml><?xml version="1.0" encoding="utf-8"?>
<sst xmlns="http://schemas.openxmlformats.org/spreadsheetml/2006/main" count="27" uniqueCount="27">
  <si>
    <t>工   资   表</t>
  </si>
  <si>
    <t>序号</t>
  </si>
  <si>
    <t>部门</t>
  </si>
  <si>
    <t>姓名</t>
  </si>
  <si>
    <t>应发工资</t>
  </si>
  <si>
    <t>应扣工资</t>
  </si>
  <si>
    <t> 代缴五险一金</t>
  </si>
  <si>
    <t>个税</t>
  </si>
  <si>
    <t>补助</t>
  </si>
  <si>
    <t> 实发工资</t>
  </si>
  <si>
    <t>备注</t>
  </si>
  <si>
    <t>基本工资</t>
  </si>
  <si>
    <t>绩效工资</t>
  </si>
  <si>
    <t>工资总额</t>
  </si>
  <si>
    <t>事/病假</t>
  </si>
  <si>
    <t>旷工/违纪</t>
  </si>
  <si>
    <t>应扣小计</t>
  </si>
  <si>
    <t>社保</t>
  </si>
  <si>
    <t>公积金</t>
  </si>
  <si>
    <t>扣款小计</t>
  </si>
  <si>
    <t>研发部</t>
  </si>
  <si>
    <t>张三</t>
  </si>
  <si>
    <t>出差一天</t>
  </si>
  <si>
    <t>合计</t>
  </si>
  <si>
    <t>批准人：</t>
  </si>
  <si>
    <t>财务负责人：</t>
  </si>
  <si>
    <t>制表人：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</si>
</sst>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right" vertical="center"/>
    </xf>
    <xf numFmtId="0" fontId="4" fillId="0" borderId="16" xfId="0" applyFont="1" applyBorder="1" applyAlignment="1">
      <alignment horizontal="right" vertical="center"/>
    </xf>
    <xf numFmtId="0" fontId="4" fillId="0" borderId="19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4" fillId="0" borderId="17" xfId="0" applyFont="1" applyBorder="1" applyAlignment="1">
      <alignment horizontal="right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>
      <alignment vertical="center"/>
    </xf>
    <xf numFmtId="0" fontId="4" fillId="0" borderId="24" xfId="0" applyFont="1" applyBorder="1">
      <alignment vertical="center"/>
    </xf>
    <xf numFmtId="0" fontId="4" fillId="0" borderId="25" xfId="0" applyFont="1" applyBorder="1" applyAlignment="1">
      <alignment horizontal="right" vertical="center"/>
    </xf>
    <xf numFmtId="0" fontId="4" fillId="0" borderId="23" xfId="0" applyFont="1" applyBorder="1" applyAlignment="1">
      <alignment horizontal="right" vertical="center"/>
    </xf>
    <xf numFmtId="0" fontId="4" fillId="0" borderId="26" xfId="0" applyFont="1" applyBorder="1" applyAlignment="1">
      <alignment horizontal="right" vertical="center"/>
    </xf>
    <xf numFmtId="0" fontId="4" fillId="0" borderId="24" xfId="0" applyFont="1" applyBorder="1" applyAlignment="1">
      <alignment horizontal="right" vertical="center"/>
    </xf>
    <xf numFmtId="0" fontId="4" fillId="0" borderId="2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1" xfId="0" applyFont="1" applyFill="1" applyBorder="1" applyAlignment="1">
      <alignment horizontal="right" vertical="center"/>
    </xf>
    <xf numFmtId="0" fontId="4" fillId="2" borderId="29" xfId="0" applyFont="1" applyFill="1" applyBorder="1" applyAlignment="1">
      <alignment horizontal="right" vertical="center"/>
    </xf>
    <xf numFmtId="0" fontId="4" fillId="2" borderId="32" xfId="0" applyFont="1" applyFill="1" applyBorder="1" applyAlignment="1">
      <alignment horizontal="right" vertical="center"/>
    </xf>
    <xf numFmtId="0" fontId="4" fillId="2" borderId="33" xfId="0" applyFont="1" applyFill="1" applyBorder="1" applyAlignment="1">
      <alignment horizontal="right" vertical="center"/>
    </xf>
    <xf numFmtId="0" fontId="4" fillId="2" borderId="30" xfId="0" applyFont="1" applyFill="1" applyBorder="1" applyAlignment="1">
      <alignment horizontal="right" vertical="center"/>
    </xf>
    <xf numFmtId="0" fontId="4" fillId="2" borderId="34" xfId="0" applyFont="1" applyFill="1" applyBorder="1" applyAlignment="1">
      <alignment horizontal="right" vertical="center"/>
    </xf>
    <xf numFmtId="0" fontId="4" fillId="2" borderId="35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5"/>
  <sheetViews>
    <sheetView showGridLines="0" tabSelected="1" workbookViewId="0">
      <selection sqref="A1:P1"/>
    </sheetView>
  </sheetViews>
  <sheetFormatPr defaultRowHeight="13.5" x14ac:dyDescent="0.15"/>
  <sheetData>
    <row r="1" spans="1:16" ht="44.25" customHeight="1" thickBot="1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24.75" customHeight="1" x14ac:dyDescent="0.15">
      <c r="A2" s="2" t="s">
        <v>1</v>
      </c>
      <c r="B2" s="3" t="s">
        <v>2</v>
      </c>
      <c r="C2" s="4" t="s">
        <v>3</v>
      </c>
      <c r="D2" s="5" t="s">
        <v>4</v>
      </c>
      <c r="E2" s="6"/>
      <c r="F2" s="7"/>
      <c r="G2" s="8" t="s">
        <v>5</v>
      </c>
      <c r="H2" s="3"/>
      <c r="I2" s="4"/>
      <c r="J2" s="9" t="s">
        <v>6</v>
      </c>
      <c r="K2" s="3"/>
      <c r="L2" s="10"/>
      <c r="M2" s="8" t="s">
        <v>7</v>
      </c>
      <c r="N2" s="3" t="s">
        <v>8</v>
      </c>
      <c r="O2" s="3" t="s">
        <v>9</v>
      </c>
      <c r="P2" s="11" t="s">
        <v>10</v>
      </c>
    </row>
    <row r="3" spans="1:16" ht="24.75" customHeight="1" x14ac:dyDescent="0.15">
      <c r="A3" s="12"/>
      <c r="B3" s="13"/>
      <c r="C3" s="14"/>
      <c r="D3" s="15" t="s">
        <v>11</v>
      </c>
      <c r="E3" s="16" t="s">
        <v>12</v>
      </c>
      <c r="F3" s="17" t="s">
        <v>13</v>
      </c>
      <c r="G3" s="18" t="s">
        <v>14</v>
      </c>
      <c r="H3" s="16" t="s">
        <v>15</v>
      </c>
      <c r="I3" s="19" t="s">
        <v>16</v>
      </c>
      <c r="J3" s="15" t="s">
        <v>17</v>
      </c>
      <c r="K3" s="16" t="s">
        <v>18</v>
      </c>
      <c r="L3" s="17" t="s">
        <v>19</v>
      </c>
      <c r="M3" s="20"/>
      <c r="N3" s="13"/>
      <c r="O3" s="13"/>
      <c r="P3" s="21"/>
    </row>
    <row r="4" spans="1:16" ht="23.25" customHeight="1" x14ac:dyDescent="0.15">
      <c r="A4" s="22">
        <v>1</v>
      </c>
      <c r="B4" s="23" t="s">
        <v>20</v>
      </c>
      <c r="C4" s="24" t="s">
        <v>21</v>
      </c>
      <c r="D4" s="25">
        <v>10000</v>
      </c>
      <c r="E4" s="26">
        <v>10000</v>
      </c>
      <c r="F4" s="27">
        <f>D4+E4</f>
        <v>20000</v>
      </c>
      <c r="G4" s="28">
        <v>0</v>
      </c>
      <c r="H4" s="26">
        <v>0</v>
      </c>
      <c r="I4" s="29">
        <v>0</v>
      </c>
      <c r="J4" s="25">
        <v>375</v>
      </c>
      <c r="K4" s="26">
        <f>F4*0.12</f>
        <v>2400</v>
      </c>
      <c r="L4" s="27">
        <f>J4+K4</f>
        <v>2775</v>
      </c>
      <c r="M4" s="28">
        <v>1200</v>
      </c>
      <c r="N4" s="26">
        <v>440</v>
      </c>
      <c r="O4" s="26">
        <f>F4-I4-L4-M4+N4</f>
        <v>16465</v>
      </c>
      <c r="P4" s="30" t="s">
        <v>22</v>
      </c>
    </row>
    <row r="5" spans="1:16" ht="23.25" customHeight="1" x14ac:dyDescent="0.15">
      <c r="A5" s="31">
        <v>2</v>
      </c>
      <c r="B5" s="32"/>
      <c r="C5" s="33"/>
      <c r="D5" s="34"/>
      <c r="E5" s="35"/>
      <c r="F5" s="27">
        <f t="shared" ref="F5:F13" si="0">D5+E5</f>
        <v>0</v>
      </c>
      <c r="G5" s="36"/>
      <c r="H5" s="35"/>
      <c r="I5" s="37"/>
      <c r="J5" s="34"/>
      <c r="K5" s="35"/>
      <c r="L5" s="27">
        <f t="shared" ref="L5:L13" si="1">J5+K5</f>
        <v>0</v>
      </c>
      <c r="M5" s="36"/>
      <c r="N5" s="35"/>
      <c r="O5" s="26">
        <f t="shared" ref="O5:O13" si="2">F5-I5-L5-M5+N5</f>
        <v>0</v>
      </c>
      <c r="P5" s="38"/>
    </row>
    <row r="6" spans="1:16" ht="23.25" customHeight="1" x14ac:dyDescent="0.15">
      <c r="A6" s="31">
        <v>3</v>
      </c>
      <c r="B6" s="32"/>
      <c r="C6" s="33"/>
      <c r="D6" s="34"/>
      <c r="E6" s="35"/>
      <c r="F6" s="27">
        <f t="shared" si="0"/>
        <v>0</v>
      </c>
      <c r="G6" s="36"/>
      <c r="H6" s="35"/>
      <c r="I6" s="37"/>
      <c r="J6" s="34"/>
      <c r="K6" s="35"/>
      <c r="L6" s="27">
        <f t="shared" si="1"/>
        <v>0</v>
      </c>
      <c r="M6" s="36"/>
      <c r="N6" s="35"/>
      <c r="O6" s="26">
        <f t="shared" si="2"/>
        <v>0</v>
      </c>
      <c r="P6" s="38"/>
    </row>
    <row r="7" spans="1:16" ht="23.25" customHeight="1" x14ac:dyDescent="0.15">
      <c r="A7" s="31">
        <v>4</v>
      </c>
      <c r="B7" s="32"/>
      <c r="C7" s="33"/>
      <c r="D7" s="34"/>
      <c r="E7" s="35"/>
      <c r="F7" s="27">
        <f t="shared" si="0"/>
        <v>0</v>
      </c>
      <c r="G7" s="36"/>
      <c r="H7" s="35"/>
      <c r="I7" s="37"/>
      <c r="J7" s="34"/>
      <c r="K7" s="35"/>
      <c r="L7" s="27">
        <f t="shared" si="1"/>
        <v>0</v>
      </c>
      <c r="M7" s="36"/>
      <c r="N7" s="35"/>
      <c r="O7" s="26">
        <f t="shared" si="2"/>
        <v>0</v>
      </c>
      <c r="P7" s="38"/>
    </row>
    <row r="8" spans="1:16" ht="23.25" customHeight="1" x14ac:dyDescent="0.15">
      <c r="A8" s="31">
        <v>5</v>
      </c>
      <c r="B8" s="32"/>
      <c r="C8" s="33"/>
      <c r="D8" s="34"/>
      <c r="E8" s="35"/>
      <c r="F8" s="27">
        <f t="shared" si="0"/>
        <v>0</v>
      </c>
      <c r="G8" s="36"/>
      <c r="H8" s="35"/>
      <c r="I8" s="37"/>
      <c r="J8" s="34"/>
      <c r="K8" s="35"/>
      <c r="L8" s="27">
        <f t="shared" si="1"/>
        <v>0</v>
      </c>
      <c r="M8" s="36"/>
      <c r="N8" s="35"/>
      <c r="O8" s="26">
        <f t="shared" si="2"/>
        <v>0</v>
      </c>
      <c r="P8" s="38"/>
    </row>
    <row r="9" spans="1:16" ht="23.25" customHeight="1" x14ac:dyDescent="0.15">
      <c r="A9" s="31">
        <v>6</v>
      </c>
      <c r="B9" s="32"/>
      <c r="C9" s="33"/>
      <c r="D9" s="34"/>
      <c r="E9" s="35"/>
      <c r="F9" s="27">
        <f t="shared" si="0"/>
        <v>0</v>
      </c>
      <c r="G9" s="36"/>
      <c r="H9" s="35"/>
      <c r="I9" s="37"/>
      <c r="J9" s="34"/>
      <c r="K9" s="35"/>
      <c r="L9" s="27">
        <f t="shared" si="1"/>
        <v>0</v>
      </c>
      <c r="M9" s="36"/>
      <c r="N9" s="35"/>
      <c r="O9" s="26">
        <f t="shared" si="2"/>
        <v>0</v>
      </c>
      <c r="P9" s="38"/>
    </row>
    <row r="10" spans="1:16" ht="23.25" customHeight="1" x14ac:dyDescent="0.15">
      <c r="A10" s="31">
        <v>7</v>
      </c>
      <c r="B10" s="32"/>
      <c r="C10" s="33"/>
      <c r="D10" s="34"/>
      <c r="E10" s="35"/>
      <c r="F10" s="27">
        <f t="shared" si="0"/>
        <v>0</v>
      </c>
      <c r="G10" s="36"/>
      <c r="H10" s="35"/>
      <c r="I10" s="37"/>
      <c r="J10" s="34"/>
      <c r="K10" s="35"/>
      <c r="L10" s="27">
        <f t="shared" si="1"/>
        <v>0</v>
      </c>
      <c r="M10" s="36"/>
      <c r="N10" s="35"/>
      <c r="O10" s="26">
        <f t="shared" si="2"/>
        <v>0</v>
      </c>
      <c r="P10" s="38"/>
    </row>
    <row r="11" spans="1:16" ht="23.25" customHeight="1" x14ac:dyDescent="0.15">
      <c r="A11" s="39">
        <v>8</v>
      </c>
      <c r="B11" s="32"/>
      <c r="C11" s="33"/>
      <c r="D11" s="34"/>
      <c r="E11" s="35"/>
      <c r="F11" s="27">
        <f t="shared" si="0"/>
        <v>0</v>
      </c>
      <c r="G11" s="36"/>
      <c r="H11" s="35"/>
      <c r="I11" s="37"/>
      <c r="J11" s="34"/>
      <c r="K11" s="35"/>
      <c r="L11" s="27">
        <f t="shared" si="1"/>
        <v>0</v>
      </c>
      <c r="M11" s="36"/>
      <c r="N11" s="35"/>
      <c r="O11" s="26">
        <f t="shared" si="2"/>
        <v>0</v>
      </c>
      <c r="P11" s="38"/>
    </row>
    <row r="12" spans="1:16" ht="23.25" customHeight="1" x14ac:dyDescent="0.15">
      <c r="A12" s="31">
        <v>9</v>
      </c>
      <c r="B12" s="32"/>
      <c r="C12" s="33"/>
      <c r="D12" s="34"/>
      <c r="E12" s="35"/>
      <c r="F12" s="27">
        <f t="shared" si="0"/>
        <v>0</v>
      </c>
      <c r="G12" s="36"/>
      <c r="H12" s="35"/>
      <c r="I12" s="37"/>
      <c r="J12" s="34"/>
      <c r="K12" s="35"/>
      <c r="L12" s="27">
        <f t="shared" si="1"/>
        <v>0</v>
      </c>
      <c r="M12" s="36"/>
      <c r="N12" s="35"/>
      <c r="O12" s="26">
        <f t="shared" si="2"/>
        <v>0</v>
      </c>
      <c r="P12" s="38"/>
    </row>
    <row r="13" spans="1:16" ht="23.25" customHeight="1" x14ac:dyDescent="0.15">
      <c r="A13" s="31">
        <v>10</v>
      </c>
      <c r="B13" s="32"/>
      <c r="C13" s="33"/>
      <c r="D13" s="34"/>
      <c r="E13" s="35"/>
      <c r="F13" s="27">
        <f t="shared" si="0"/>
        <v>0</v>
      </c>
      <c r="G13" s="36"/>
      <c r="H13" s="35"/>
      <c r="I13" s="37"/>
      <c r="J13" s="34"/>
      <c r="K13" s="35"/>
      <c r="L13" s="27">
        <f t="shared" si="1"/>
        <v>0</v>
      </c>
      <c r="M13" s="36"/>
      <c r="N13" s="35"/>
      <c r="O13" s="26">
        <f t="shared" si="2"/>
        <v>0</v>
      </c>
      <c r="P13" s="38"/>
    </row>
    <row r="14" spans="1:16" ht="23.25" customHeight="1" thickBot="1" x14ac:dyDescent="0.2">
      <c r="A14" s="40" t="s">
        <v>23</v>
      </c>
      <c r="B14" s="41"/>
      <c r="C14" s="42"/>
      <c r="D14" s="43">
        <f t="shared" ref="D14:O14" si="3">SUM(D4:D13)</f>
        <v>10000</v>
      </c>
      <c r="E14" s="44">
        <f t="shared" si="3"/>
        <v>10000</v>
      </c>
      <c r="F14" s="45">
        <f t="shared" si="3"/>
        <v>20000</v>
      </c>
      <c r="G14" s="46">
        <f t="shared" si="3"/>
        <v>0</v>
      </c>
      <c r="H14" s="44">
        <f t="shared" si="3"/>
        <v>0</v>
      </c>
      <c r="I14" s="47">
        <f t="shared" si="3"/>
        <v>0</v>
      </c>
      <c r="J14" s="43">
        <f t="shared" si="3"/>
        <v>375</v>
      </c>
      <c r="K14" s="44">
        <f t="shared" si="3"/>
        <v>2400</v>
      </c>
      <c r="L14" s="48">
        <f t="shared" si="3"/>
        <v>2775</v>
      </c>
      <c r="M14" s="46">
        <f t="shared" si="3"/>
        <v>1200</v>
      </c>
      <c r="N14" s="44">
        <f t="shared" si="3"/>
        <v>440</v>
      </c>
      <c r="O14" s="44">
        <f t="shared" si="3"/>
        <v>16465</v>
      </c>
      <c r="P14" s="49"/>
    </row>
    <row r="15" spans="1:16" ht="23.25" customHeight="1" x14ac:dyDescent="0.15">
      <c r="A15" s="50" t="s">
        <v>24</v>
      </c>
      <c r="B15" s="50"/>
      <c r="C15" s="51"/>
      <c r="D15" s="51"/>
      <c r="E15" s="50"/>
      <c r="F15" s="50"/>
      <c r="G15" s="51" t="s">
        <v>25</v>
      </c>
      <c r="H15" s="51"/>
      <c r="I15" s="51"/>
      <c r="J15" s="51"/>
      <c r="K15" s="51"/>
      <c r="L15" s="51"/>
      <c r="M15" s="51" t="s">
        <v>26</v>
      </c>
      <c r="N15" s="51"/>
      <c r="O15" s="51"/>
      <c r="P15" s="51"/>
    </row>
  </sheetData>
  <mergeCells count="14">
    <mergeCell ref="P2:P3"/>
    <mergeCell ref="A14:C14"/>
    <mergeCell ref="A15:B15"/>
    <mergeCell ref="E15:F15"/>
    <mergeCell ref="A1:P1"/>
    <mergeCell ref="A2:A3"/>
    <mergeCell ref="B2:B3"/>
    <mergeCell ref="C2:C3"/>
    <mergeCell ref="D2:F2"/>
    <mergeCell ref="G2:I2"/>
    <mergeCell ref="J2:L2"/>
    <mergeCell ref="M2:M3"/>
    <mergeCell ref="N2:N3"/>
    <mergeCell ref="O2:O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工资表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2019-01-17T03:05:00Z</dcterms:created>
  <dcterms:modified xsi:type="dcterms:W3CDTF">2019-01-17T03:06:32Z</dcterms:modified>
</cp:coreProperties>
</file>