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SUS\Documents\Custom Office Templates\"/>
    </mc:Choice>
  </mc:AlternateContent>
  <bookViews>
    <workbookView xWindow="0" yWindow="0" windowWidth="19200" windowHeight="7310" firstSheet="4" activeTab="8"/>
  </bookViews>
  <sheets>
    <sheet name="预计资金流量表" sheetId="1" r:id="rId1"/>
    <sheet name="主营成本支出现金预算表" sheetId="2" r:id="rId2"/>
    <sheet name="管理费用现金预算表" sheetId="3" r:id="rId3"/>
    <sheet name=" 销售费用现金预算表" sheetId="4" r:id="rId4"/>
    <sheet name="税费支出现金预算表 " sheetId="5" r:id="rId5"/>
    <sheet name="投资收回现金预算表" sheetId="6" r:id="rId6"/>
    <sheet name="  购置非流动资产支出现金预算表" sheetId="7" r:id="rId7"/>
    <sheet name="投资支出" sheetId="8" r:id="rId8"/>
    <sheet name="财务费用" sheetId="9" r:id="rId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9" l="1"/>
  <c r="P13" i="9"/>
  <c r="O13" i="9"/>
  <c r="N13" i="9"/>
  <c r="M13" i="9"/>
  <c r="L13" i="9"/>
  <c r="K13" i="9"/>
  <c r="J13" i="9" s="1"/>
  <c r="I13" i="9"/>
  <c r="H13" i="9"/>
  <c r="G13" i="9"/>
  <c r="F13" i="9"/>
  <c r="E13" i="9"/>
  <c r="D13" i="9"/>
  <c r="C13" i="9"/>
  <c r="B13" i="9" s="1"/>
  <c r="N12" i="9"/>
  <c r="J12" i="9"/>
  <c r="F12" i="9"/>
  <c r="B12" i="9"/>
  <c r="R12" i="9" s="1"/>
  <c r="T12" i="9" s="1"/>
  <c r="U12" i="9" s="1"/>
  <c r="N11" i="9"/>
  <c r="J11" i="9"/>
  <c r="F11" i="9"/>
  <c r="B11" i="9"/>
  <c r="R11" i="9" s="1"/>
  <c r="T11" i="9" s="1"/>
  <c r="U11" i="9" s="1"/>
  <c r="N10" i="9"/>
  <c r="J10" i="9"/>
  <c r="F10" i="9"/>
  <c r="B10" i="9"/>
  <c r="R10" i="9" s="1"/>
  <c r="T10" i="9" s="1"/>
  <c r="U10" i="9" s="1"/>
  <c r="N9" i="9"/>
  <c r="J9" i="9"/>
  <c r="F9" i="9"/>
  <c r="B9" i="9"/>
  <c r="R9" i="9" s="1"/>
  <c r="T9" i="9" s="1"/>
  <c r="U9" i="9" s="1"/>
  <c r="R8" i="9"/>
  <c r="T8" i="9" s="1"/>
  <c r="U8" i="9" s="1"/>
  <c r="N8" i="9"/>
  <c r="J8" i="9"/>
  <c r="F8" i="9"/>
  <c r="B8" i="9"/>
  <c r="N7" i="9"/>
  <c r="R7" i="9" s="1"/>
  <c r="T7" i="9" s="1"/>
  <c r="U7" i="9" s="1"/>
  <c r="J7" i="9"/>
  <c r="F7" i="9"/>
  <c r="B7" i="9"/>
  <c r="R6" i="9"/>
  <c r="T6" i="9" s="1"/>
  <c r="U6" i="9" s="1"/>
  <c r="N6" i="9"/>
  <c r="J6" i="9"/>
  <c r="F6" i="9"/>
  <c r="B6" i="9"/>
  <c r="N5" i="9"/>
  <c r="R5" i="9" s="1"/>
  <c r="T5" i="9" s="1"/>
  <c r="U5" i="9" s="1"/>
  <c r="J5" i="9"/>
  <c r="F5" i="9"/>
  <c r="B5" i="9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S20" i="8" s="1"/>
  <c r="B20" i="8"/>
  <c r="S19" i="8"/>
  <c r="S18" i="8"/>
  <c r="S17" i="8"/>
  <c r="R16" i="8"/>
  <c r="Q16" i="8"/>
  <c r="P16" i="8"/>
  <c r="N16" i="8"/>
  <c r="M16" i="8"/>
  <c r="L16" i="8"/>
  <c r="K16" i="8"/>
  <c r="J16" i="8"/>
  <c r="I16" i="8"/>
  <c r="H16" i="8"/>
  <c r="F16" i="8"/>
  <c r="E16" i="8"/>
  <c r="D16" i="8"/>
  <c r="B16" i="8"/>
  <c r="O15" i="8"/>
  <c r="K15" i="8"/>
  <c r="G15" i="8"/>
  <c r="C15" i="8"/>
  <c r="S15" i="8" s="1"/>
  <c r="O14" i="8"/>
  <c r="S14" i="8" s="1"/>
  <c r="K14" i="8"/>
  <c r="G14" i="8"/>
  <c r="C14" i="8"/>
  <c r="O13" i="8"/>
  <c r="O16" i="8" s="1"/>
  <c r="K13" i="8"/>
  <c r="G13" i="8"/>
  <c r="G16" i="8" s="1"/>
  <c r="C13" i="8"/>
  <c r="C16" i="8" s="1"/>
  <c r="S16" i="8" s="1"/>
  <c r="R12" i="8"/>
  <c r="Q12" i="8"/>
  <c r="P12" i="8"/>
  <c r="N12" i="8"/>
  <c r="M12" i="8"/>
  <c r="L12" i="8"/>
  <c r="L21" i="8" s="1"/>
  <c r="J12" i="8"/>
  <c r="I12" i="8"/>
  <c r="H12" i="8"/>
  <c r="F12" i="8"/>
  <c r="E12" i="8"/>
  <c r="D12" i="8"/>
  <c r="D21" i="8" s="1"/>
  <c r="B12" i="8"/>
  <c r="O11" i="8"/>
  <c r="K11" i="8"/>
  <c r="G11" i="8"/>
  <c r="C11" i="8"/>
  <c r="S11" i="8" s="1"/>
  <c r="S10" i="8"/>
  <c r="O10" i="8"/>
  <c r="K10" i="8"/>
  <c r="G10" i="8"/>
  <c r="C10" i="8"/>
  <c r="O9" i="8"/>
  <c r="O12" i="8" s="1"/>
  <c r="K9" i="8"/>
  <c r="K12" i="8" s="1"/>
  <c r="G9" i="8"/>
  <c r="G12" i="8" s="1"/>
  <c r="C9" i="8"/>
  <c r="C12" i="8" s="1"/>
  <c r="S12" i="8" s="1"/>
  <c r="R8" i="8"/>
  <c r="R21" i="8" s="1"/>
  <c r="Q8" i="8"/>
  <c r="Q21" i="8" s="1"/>
  <c r="P8" i="8"/>
  <c r="P21" i="8" s="1"/>
  <c r="N8" i="8"/>
  <c r="N21" i="8" s="1"/>
  <c r="M8" i="8"/>
  <c r="M21" i="8" s="1"/>
  <c r="L8" i="8"/>
  <c r="J8" i="8"/>
  <c r="J21" i="8" s="1"/>
  <c r="I8" i="8"/>
  <c r="I21" i="8" s="1"/>
  <c r="H8" i="8"/>
  <c r="H21" i="8" s="1"/>
  <c r="F8" i="8"/>
  <c r="F21" i="8" s="1"/>
  <c r="E8" i="8"/>
  <c r="E21" i="8" s="1"/>
  <c r="D8" i="8"/>
  <c r="B8" i="8"/>
  <c r="B21" i="8" s="1"/>
  <c r="O7" i="8"/>
  <c r="K7" i="8"/>
  <c r="G7" i="8"/>
  <c r="C7" i="8"/>
  <c r="S7" i="8" s="1"/>
  <c r="O6" i="8"/>
  <c r="K6" i="8"/>
  <c r="G6" i="8"/>
  <c r="C6" i="8"/>
  <c r="S6" i="8" s="1"/>
  <c r="O5" i="8"/>
  <c r="O8" i="8" s="1"/>
  <c r="O21" i="8" s="1"/>
  <c r="K5" i="8"/>
  <c r="K8" i="8" s="1"/>
  <c r="K21" i="8" s="1"/>
  <c r="G5" i="8"/>
  <c r="G8" i="8" s="1"/>
  <c r="G21" i="8" s="1"/>
  <c r="C5" i="8"/>
  <c r="C8" i="8" s="1"/>
  <c r="U21" i="7"/>
  <c r="O21" i="7"/>
  <c r="M21" i="7"/>
  <c r="G21" i="7"/>
  <c r="E21" i="7"/>
  <c r="U20" i="7"/>
  <c r="T20" i="7"/>
  <c r="S20" i="7"/>
  <c r="Q20" i="7"/>
  <c r="P20" i="7"/>
  <c r="O20" i="7"/>
  <c r="M20" i="7"/>
  <c r="L20" i="7"/>
  <c r="K20" i="7"/>
  <c r="I20" i="7"/>
  <c r="H20" i="7"/>
  <c r="G20" i="7"/>
  <c r="E20" i="7"/>
  <c r="D20" i="7"/>
  <c r="C20" i="7"/>
  <c r="R19" i="7"/>
  <c r="N19" i="7"/>
  <c r="J19" i="7"/>
  <c r="V19" i="7" s="1"/>
  <c r="F19" i="7"/>
  <c r="R18" i="7"/>
  <c r="N18" i="7"/>
  <c r="J18" i="7"/>
  <c r="F18" i="7"/>
  <c r="V18" i="7" s="1"/>
  <c r="R17" i="7"/>
  <c r="N17" i="7"/>
  <c r="J17" i="7"/>
  <c r="J20" i="7" s="1"/>
  <c r="F17" i="7"/>
  <c r="V17" i="7" s="1"/>
  <c r="V16" i="7"/>
  <c r="R16" i="7"/>
  <c r="R20" i="7" s="1"/>
  <c r="N16" i="7"/>
  <c r="N20" i="7" s="1"/>
  <c r="J16" i="7"/>
  <c r="F16" i="7"/>
  <c r="F20" i="7" s="1"/>
  <c r="U15" i="7"/>
  <c r="T15" i="7"/>
  <c r="S15" i="7"/>
  <c r="R15" i="7" s="1"/>
  <c r="Q15" i="7"/>
  <c r="P15" i="7"/>
  <c r="O15" i="7"/>
  <c r="N15" i="7" s="1"/>
  <c r="M15" i="7"/>
  <c r="L15" i="7"/>
  <c r="K15" i="7"/>
  <c r="J15" i="7" s="1"/>
  <c r="I15" i="7"/>
  <c r="H15" i="7"/>
  <c r="G15" i="7"/>
  <c r="F15" i="7" s="1"/>
  <c r="E15" i="7"/>
  <c r="D15" i="7"/>
  <c r="C15" i="7"/>
  <c r="R14" i="7"/>
  <c r="N14" i="7"/>
  <c r="J14" i="7"/>
  <c r="V14" i="7" s="1"/>
  <c r="F14" i="7"/>
  <c r="R13" i="7"/>
  <c r="N13" i="7"/>
  <c r="J13" i="7"/>
  <c r="F13" i="7"/>
  <c r="V13" i="7" s="1"/>
  <c r="R12" i="7"/>
  <c r="N12" i="7"/>
  <c r="J12" i="7"/>
  <c r="F12" i="7"/>
  <c r="V12" i="7" s="1"/>
  <c r="V11" i="7"/>
  <c r="R11" i="7"/>
  <c r="N11" i="7"/>
  <c r="J11" i="7"/>
  <c r="F11" i="7"/>
  <c r="U10" i="7"/>
  <c r="T10" i="7"/>
  <c r="T21" i="7" s="1"/>
  <c r="S10" i="7"/>
  <c r="R10" i="7" s="1"/>
  <c r="R21" i="7" s="1"/>
  <c r="Q10" i="7"/>
  <c r="Q21" i="7" s="1"/>
  <c r="P10" i="7"/>
  <c r="P21" i="7" s="1"/>
  <c r="O10" i="7"/>
  <c r="N10" i="7" s="1"/>
  <c r="N21" i="7" s="1"/>
  <c r="M10" i="7"/>
  <c r="L10" i="7"/>
  <c r="L21" i="7" s="1"/>
  <c r="K10" i="7"/>
  <c r="J10" i="7" s="1"/>
  <c r="I10" i="7"/>
  <c r="I21" i="7" s="1"/>
  <c r="H10" i="7"/>
  <c r="H21" i="7" s="1"/>
  <c r="G10" i="7"/>
  <c r="F10" i="7" s="1"/>
  <c r="E10" i="7"/>
  <c r="D10" i="7"/>
  <c r="D21" i="7" s="1"/>
  <c r="C10" i="7"/>
  <c r="C21" i="7" s="1"/>
  <c r="R9" i="7"/>
  <c r="N9" i="7"/>
  <c r="J9" i="7"/>
  <c r="V9" i="7" s="1"/>
  <c r="F9" i="7"/>
  <c r="R8" i="7"/>
  <c r="N8" i="7"/>
  <c r="J8" i="7"/>
  <c r="F8" i="7"/>
  <c r="V8" i="7" s="1"/>
  <c r="R7" i="7"/>
  <c r="N7" i="7"/>
  <c r="J7" i="7"/>
  <c r="F7" i="7"/>
  <c r="V7" i="7" s="1"/>
  <c r="V6" i="7"/>
  <c r="R6" i="7"/>
  <c r="N6" i="7"/>
  <c r="J6" i="7"/>
  <c r="F6" i="7"/>
  <c r="R5" i="7"/>
  <c r="N5" i="7"/>
  <c r="J5" i="7"/>
  <c r="F5" i="7"/>
  <c r="V5" i="7" s="1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T13" i="6"/>
  <c r="T22" i="6" s="1"/>
  <c r="S13" i="6"/>
  <c r="S22" i="6" s="1"/>
  <c r="R13" i="6"/>
  <c r="R22" i="6" s="1"/>
  <c r="P13" i="6"/>
  <c r="P22" i="6" s="1"/>
  <c r="O13" i="6"/>
  <c r="N13" i="6"/>
  <c r="L13" i="6"/>
  <c r="K13" i="6"/>
  <c r="K22" i="6" s="1"/>
  <c r="J13" i="6"/>
  <c r="H13" i="6"/>
  <c r="H22" i="6" s="1"/>
  <c r="G13" i="6"/>
  <c r="G22" i="6" s="1"/>
  <c r="F13" i="6"/>
  <c r="E13" i="6" s="1"/>
  <c r="D13" i="6"/>
  <c r="D22" i="6" s="1"/>
  <c r="C13" i="6"/>
  <c r="C22" i="6" s="1"/>
  <c r="B13" i="6"/>
  <c r="Q12" i="6"/>
  <c r="M12" i="6"/>
  <c r="I12" i="6"/>
  <c r="E12" i="6"/>
  <c r="Q11" i="6"/>
  <c r="M11" i="6"/>
  <c r="I11" i="6"/>
  <c r="E11" i="6"/>
  <c r="Q10" i="6"/>
  <c r="M10" i="6"/>
  <c r="I10" i="6"/>
  <c r="E10" i="6"/>
  <c r="Q9" i="6"/>
  <c r="M9" i="6"/>
  <c r="I9" i="6"/>
  <c r="E9" i="6"/>
  <c r="Q8" i="6"/>
  <c r="M8" i="6"/>
  <c r="I8" i="6"/>
  <c r="E8" i="6"/>
  <c r="Q7" i="6"/>
  <c r="M7" i="6"/>
  <c r="I7" i="6"/>
  <c r="E7" i="6"/>
  <c r="Q6" i="6"/>
  <c r="M6" i="6"/>
  <c r="I6" i="6"/>
  <c r="E6" i="6"/>
  <c r="S15" i="5"/>
  <c r="R15" i="5"/>
  <c r="Q15" i="5"/>
  <c r="P15" i="5" s="1"/>
  <c r="O15" i="5"/>
  <c r="N15" i="5"/>
  <c r="M15" i="5"/>
  <c r="L15" i="5" s="1"/>
  <c r="K15" i="5"/>
  <c r="J15" i="5"/>
  <c r="I15" i="5"/>
  <c r="H15" i="5" s="1"/>
  <c r="G15" i="5"/>
  <c r="F15" i="5"/>
  <c r="E15" i="5"/>
  <c r="D15" i="5" s="1"/>
  <c r="T14" i="5"/>
  <c r="P14" i="5"/>
  <c r="L14" i="5"/>
  <c r="H14" i="5"/>
  <c r="D14" i="5"/>
  <c r="P13" i="5"/>
  <c r="L13" i="5"/>
  <c r="H13" i="5"/>
  <c r="T13" i="5" s="1"/>
  <c r="D13" i="5"/>
  <c r="P12" i="5"/>
  <c r="L12" i="5"/>
  <c r="H12" i="5"/>
  <c r="D12" i="5"/>
  <c r="T12" i="5" s="1"/>
  <c r="P11" i="5"/>
  <c r="L11" i="5"/>
  <c r="H11" i="5"/>
  <c r="D11" i="5"/>
  <c r="T11" i="5" s="1"/>
  <c r="P10" i="5"/>
  <c r="L10" i="5"/>
  <c r="H10" i="5"/>
  <c r="D10" i="5"/>
  <c r="T10" i="5" s="1"/>
  <c r="P9" i="5"/>
  <c r="L9" i="5"/>
  <c r="H9" i="5"/>
  <c r="D9" i="5"/>
  <c r="T9" i="5" s="1"/>
  <c r="T8" i="5"/>
  <c r="P8" i="5"/>
  <c r="L8" i="5"/>
  <c r="H8" i="5"/>
  <c r="D8" i="5"/>
  <c r="P7" i="5"/>
  <c r="L7" i="5"/>
  <c r="H7" i="5"/>
  <c r="D7" i="5"/>
  <c r="T7" i="5" s="1"/>
  <c r="T6" i="5"/>
  <c r="P6" i="5"/>
  <c r="L6" i="5"/>
  <c r="H6" i="5"/>
  <c r="D6" i="5"/>
  <c r="P5" i="5"/>
  <c r="L5" i="5"/>
  <c r="H5" i="5"/>
  <c r="T5" i="5" s="1"/>
  <c r="D5" i="5"/>
  <c r="S62" i="4"/>
  <c r="Q62" i="4"/>
  <c r="P62" i="4"/>
  <c r="O62" i="4"/>
  <c r="N62" i="4"/>
  <c r="M62" i="4"/>
  <c r="L62" i="4"/>
  <c r="K62" i="4"/>
  <c r="J62" i="4" s="1"/>
  <c r="I62" i="4"/>
  <c r="H62" i="4"/>
  <c r="G62" i="4"/>
  <c r="F62" i="4"/>
  <c r="E62" i="4"/>
  <c r="D62" i="4"/>
  <c r="C62" i="4"/>
  <c r="B62" i="4" s="1"/>
  <c r="N61" i="4"/>
  <c r="J61" i="4"/>
  <c r="F61" i="4"/>
  <c r="R61" i="4" s="1"/>
  <c r="T61" i="4" s="1"/>
  <c r="U61" i="4" s="1"/>
  <c r="B61" i="4"/>
  <c r="N60" i="4"/>
  <c r="J60" i="4"/>
  <c r="F60" i="4"/>
  <c r="B60" i="4"/>
  <c r="R60" i="4" s="1"/>
  <c r="T60" i="4" s="1"/>
  <c r="U60" i="4" s="1"/>
  <c r="N59" i="4"/>
  <c r="J59" i="4"/>
  <c r="F59" i="4"/>
  <c r="B59" i="4"/>
  <c r="R59" i="4" s="1"/>
  <c r="T59" i="4" s="1"/>
  <c r="U59" i="4" s="1"/>
  <c r="N58" i="4"/>
  <c r="J58" i="4"/>
  <c r="F58" i="4"/>
  <c r="B58" i="4"/>
  <c r="R58" i="4" s="1"/>
  <c r="T58" i="4" s="1"/>
  <c r="U58" i="4" s="1"/>
  <c r="T57" i="4"/>
  <c r="U57" i="4" s="1"/>
  <c r="R57" i="4"/>
  <c r="Q56" i="4"/>
  <c r="P56" i="4"/>
  <c r="N56" i="4" s="1"/>
  <c r="O56" i="4"/>
  <c r="M56" i="4"/>
  <c r="L56" i="4"/>
  <c r="K56" i="4"/>
  <c r="J56" i="4"/>
  <c r="I56" i="4"/>
  <c r="H56" i="4"/>
  <c r="F56" i="4" s="1"/>
  <c r="G56" i="4"/>
  <c r="E56" i="4"/>
  <c r="D56" i="4"/>
  <c r="C56" i="4"/>
  <c r="B56" i="4"/>
  <c r="N55" i="4"/>
  <c r="J55" i="4"/>
  <c r="F55" i="4"/>
  <c r="B55" i="4"/>
  <c r="R55" i="4" s="1"/>
  <c r="T55" i="4" s="1"/>
  <c r="U55" i="4" s="1"/>
  <c r="R54" i="4"/>
  <c r="T54" i="4" s="1"/>
  <c r="U54" i="4" s="1"/>
  <c r="N54" i="4"/>
  <c r="J54" i="4"/>
  <c r="F54" i="4"/>
  <c r="B54" i="4"/>
  <c r="N53" i="4"/>
  <c r="J53" i="4"/>
  <c r="F53" i="4"/>
  <c r="B53" i="4"/>
  <c r="R53" i="4" s="1"/>
  <c r="T53" i="4" s="1"/>
  <c r="U53" i="4" s="1"/>
  <c r="N52" i="4"/>
  <c r="J52" i="4"/>
  <c r="F52" i="4"/>
  <c r="B52" i="4"/>
  <c r="R52" i="4" s="1"/>
  <c r="T52" i="4" s="1"/>
  <c r="U52" i="4" s="1"/>
  <c r="N51" i="4"/>
  <c r="J51" i="4"/>
  <c r="F51" i="4"/>
  <c r="B51" i="4"/>
  <c r="R51" i="4" s="1"/>
  <c r="T51" i="4" s="1"/>
  <c r="U51" i="4" s="1"/>
  <c r="N50" i="4"/>
  <c r="J50" i="4"/>
  <c r="F50" i="4"/>
  <c r="B50" i="4"/>
  <c r="R50" i="4" s="1"/>
  <c r="T50" i="4" s="1"/>
  <c r="U50" i="4" s="1"/>
  <c r="N49" i="4"/>
  <c r="J49" i="4"/>
  <c r="F49" i="4"/>
  <c r="B49" i="4"/>
  <c r="R49" i="4" s="1"/>
  <c r="T49" i="4" s="1"/>
  <c r="U49" i="4" s="1"/>
  <c r="N48" i="4"/>
  <c r="J48" i="4"/>
  <c r="F48" i="4"/>
  <c r="B48" i="4"/>
  <c r="R48" i="4" s="1"/>
  <c r="T48" i="4" s="1"/>
  <c r="U48" i="4" s="1"/>
  <c r="N47" i="4"/>
  <c r="J47" i="4"/>
  <c r="F47" i="4"/>
  <c r="B47" i="4"/>
  <c r="R47" i="4" s="1"/>
  <c r="T47" i="4" s="1"/>
  <c r="U47" i="4" s="1"/>
  <c r="R46" i="4"/>
  <c r="T46" i="4" s="1"/>
  <c r="U46" i="4" s="1"/>
  <c r="N46" i="4"/>
  <c r="J46" i="4"/>
  <c r="F46" i="4"/>
  <c r="B46" i="4"/>
  <c r="N45" i="4"/>
  <c r="J45" i="4"/>
  <c r="F45" i="4"/>
  <c r="B45" i="4"/>
  <c r="R45" i="4" s="1"/>
  <c r="T45" i="4" s="1"/>
  <c r="U45" i="4" s="1"/>
  <c r="N44" i="4"/>
  <c r="J44" i="4"/>
  <c r="F44" i="4"/>
  <c r="B44" i="4"/>
  <c r="R44" i="4" s="1"/>
  <c r="T44" i="4" s="1"/>
  <c r="U44" i="4" s="1"/>
  <c r="N43" i="4"/>
  <c r="J43" i="4"/>
  <c r="F43" i="4"/>
  <c r="B43" i="4"/>
  <c r="R43" i="4" s="1"/>
  <c r="T43" i="4" s="1"/>
  <c r="U43" i="4" s="1"/>
  <c r="N42" i="4"/>
  <c r="J42" i="4"/>
  <c r="F42" i="4"/>
  <c r="B42" i="4"/>
  <c r="R42" i="4" s="1"/>
  <c r="T42" i="4" s="1"/>
  <c r="U42" i="4" s="1"/>
  <c r="N41" i="4"/>
  <c r="J41" i="4"/>
  <c r="F41" i="4"/>
  <c r="B41" i="4"/>
  <c r="R41" i="4" s="1"/>
  <c r="T41" i="4" s="1"/>
  <c r="U41" i="4" s="1"/>
  <c r="N40" i="4"/>
  <c r="J40" i="4"/>
  <c r="F40" i="4"/>
  <c r="B40" i="4"/>
  <c r="R40" i="4" s="1"/>
  <c r="T40" i="4" s="1"/>
  <c r="U40" i="4" s="1"/>
  <c r="N39" i="4"/>
  <c r="J39" i="4"/>
  <c r="F39" i="4"/>
  <c r="B39" i="4"/>
  <c r="R39" i="4" s="1"/>
  <c r="T39" i="4" s="1"/>
  <c r="U39" i="4" s="1"/>
  <c r="R38" i="4"/>
  <c r="T38" i="4" s="1"/>
  <c r="U38" i="4" s="1"/>
  <c r="N38" i="4"/>
  <c r="J38" i="4"/>
  <c r="F38" i="4"/>
  <c r="B38" i="4"/>
  <c r="N37" i="4"/>
  <c r="J37" i="4"/>
  <c r="F37" i="4"/>
  <c r="B37" i="4"/>
  <c r="R37" i="4" s="1"/>
  <c r="T37" i="4" s="1"/>
  <c r="U37" i="4" s="1"/>
  <c r="N36" i="4"/>
  <c r="J36" i="4"/>
  <c r="F36" i="4"/>
  <c r="B36" i="4"/>
  <c r="R36" i="4" s="1"/>
  <c r="T36" i="4" s="1"/>
  <c r="U36" i="4" s="1"/>
  <c r="N35" i="4"/>
  <c r="J35" i="4"/>
  <c r="F35" i="4"/>
  <c r="B35" i="4"/>
  <c r="R35" i="4" s="1"/>
  <c r="T35" i="4" s="1"/>
  <c r="U35" i="4" s="1"/>
  <c r="N34" i="4"/>
  <c r="J34" i="4"/>
  <c r="F34" i="4"/>
  <c r="B34" i="4"/>
  <c r="R34" i="4" s="1"/>
  <c r="T34" i="4" s="1"/>
  <c r="U34" i="4" s="1"/>
  <c r="N33" i="4"/>
  <c r="J33" i="4"/>
  <c r="F33" i="4"/>
  <c r="R33" i="4" s="1"/>
  <c r="T33" i="4" s="1"/>
  <c r="U33" i="4" s="1"/>
  <c r="B33" i="4"/>
  <c r="N32" i="4"/>
  <c r="J32" i="4"/>
  <c r="F32" i="4"/>
  <c r="B32" i="4"/>
  <c r="R32" i="4" s="1"/>
  <c r="T32" i="4" s="1"/>
  <c r="U32" i="4" s="1"/>
  <c r="N31" i="4"/>
  <c r="J31" i="4"/>
  <c r="F31" i="4"/>
  <c r="B31" i="4"/>
  <c r="R31" i="4" s="1"/>
  <c r="T31" i="4" s="1"/>
  <c r="U31" i="4" s="1"/>
  <c r="R30" i="4"/>
  <c r="T30" i="4" s="1"/>
  <c r="U30" i="4" s="1"/>
  <c r="N30" i="4"/>
  <c r="J30" i="4"/>
  <c r="F30" i="4"/>
  <c r="B30" i="4"/>
  <c r="N29" i="4"/>
  <c r="J29" i="4"/>
  <c r="F29" i="4"/>
  <c r="B29" i="4"/>
  <c r="R29" i="4" s="1"/>
  <c r="T29" i="4" s="1"/>
  <c r="U29" i="4" s="1"/>
  <c r="N28" i="4"/>
  <c r="J28" i="4"/>
  <c r="F28" i="4"/>
  <c r="B28" i="4"/>
  <c r="R28" i="4" s="1"/>
  <c r="T28" i="4" s="1"/>
  <c r="U28" i="4" s="1"/>
  <c r="N27" i="4"/>
  <c r="J27" i="4"/>
  <c r="F27" i="4"/>
  <c r="B27" i="4"/>
  <c r="R27" i="4" s="1"/>
  <c r="T27" i="4" s="1"/>
  <c r="U27" i="4" s="1"/>
  <c r="N26" i="4"/>
  <c r="J26" i="4"/>
  <c r="F26" i="4"/>
  <c r="B26" i="4"/>
  <c r="R26" i="4" s="1"/>
  <c r="T26" i="4" s="1"/>
  <c r="U26" i="4" s="1"/>
  <c r="N25" i="4"/>
  <c r="J25" i="4"/>
  <c r="F25" i="4"/>
  <c r="R25" i="4" s="1"/>
  <c r="T25" i="4" s="1"/>
  <c r="U25" i="4" s="1"/>
  <c r="B25" i="4"/>
  <c r="N24" i="4"/>
  <c r="J24" i="4"/>
  <c r="F24" i="4"/>
  <c r="B24" i="4"/>
  <c r="R24" i="4" s="1"/>
  <c r="T24" i="4" s="1"/>
  <c r="U24" i="4" s="1"/>
  <c r="N23" i="4"/>
  <c r="J23" i="4"/>
  <c r="F23" i="4"/>
  <c r="B23" i="4"/>
  <c r="R23" i="4" s="1"/>
  <c r="T23" i="4" s="1"/>
  <c r="U23" i="4" s="1"/>
  <c r="R22" i="4"/>
  <c r="T22" i="4" s="1"/>
  <c r="U22" i="4" s="1"/>
  <c r="N22" i="4"/>
  <c r="J22" i="4"/>
  <c r="F22" i="4"/>
  <c r="B22" i="4"/>
  <c r="N21" i="4"/>
  <c r="J21" i="4"/>
  <c r="F21" i="4"/>
  <c r="B21" i="4"/>
  <c r="R21" i="4" s="1"/>
  <c r="T21" i="4" s="1"/>
  <c r="U21" i="4" s="1"/>
  <c r="N20" i="4"/>
  <c r="J20" i="4"/>
  <c r="F20" i="4"/>
  <c r="B20" i="4"/>
  <c r="R20" i="4" s="1"/>
  <c r="T20" i="4" s="1"/>
  <c r="U20" i="4" s="1"/>
  <c r="N19" i="4"/>
  <c r="J19" i="4"/>
  <c r="F19" i="4"/>
  <c r="B19" i="4"/>
  <c r="R19" i="4" s="1"/>
  <c r="T19" i="4" s="1"/>
  <c r="U19" i="4" s="1"/>
  <c r="N18" i="4"/>
  <c r="J18" i="4"/>
  <c r="F18" i="4"/>
  <c r="B18" i="4"/>
  <c r="R18" i="4" s="1"/>
  <c r="T18" i="4" s="1"/>
  <c r="U18" i="4" s="1"/>
  <c r="N17" i="4"/>
  <c r="J17" i="4"/>
  <c r="F17" i="4"/>
  <c r="R17" i="4" s="1"/>
  <c r="T17" i="4" s="1"/>
  <c r="U17" i="4" s="1"/>
  <c r="B17" i="4"/>
  <c r="N16" i="4"/>
  <c r="J16" i="4"/>
  <c r="F16" i="4"/>
  <c r="B16" i="4"/>
  <c r="R16" i="4" s="1"/>
  <c r="T16" i="4" s="1"/>
  <c r="U16" i="4" s="1"/>
  <c r="N15" i="4"/>
  <c r="J15" i="4"/>
  <c r="F15" i="4"/>
  <c r="B15" i="4"/>
  <c r="R15" i="4" s="1"/>
  <c r="T15" i="4" s="1"/>
  <c r="U15" i="4" s="1"/>
  <c r="R14" i="4"/>
  <c r="T14" i="4" s="1"/>
  <c r="U14" i="4" s="1"/>
  <c r="N14" i="4"/>
  <c r="J14" i="4"/>
  <c r="F14" i="4"/>
  <c r="B14" i="4"/>
  <c r="N13" i="4"/>
  <c r="J13" i="4"/>
  <c r="F13" i="4"/>
  <c r="B13" i="4"/>
  <c r="R13" i="4" s="1"/>
  <c r="T13" i="4" s="1"/>
  <c r="U13" i="4" s="1"/>
  <c r="N12" i="4"/>
  <c r="J12" i="4"/>
  <c r="F12" i="4"/>
  <c r="B12" i="4"/>
  <c r="R12" i="4" s="1"/>
  <c r="T12" i="4" s="1"/>
  <c r="U12" i="4" s="1"/>
  <c r="N11" i="4"/>
  <c r="J11" i="4"/>
  <c r="F11" i="4"/>
  <c r="B11" i="4"/>
  <c r="R11" i="4" s="1"/>
  <c r="T11" i="4" s="1"/>
  <c r="U11" i="4" s="1"/>
  <c r="N10" i="4"/>
  <c r="J10" i="4"/>
  <c r="F10" i="4"/>
  <c r="B10" i="4"/>
  <c r="R10" i="4" s="1"/>
  <c r="T10" i="4" s="1"/>
  <c r="U10" i="4" s="1"/>
  <c r="N9" i="4"/>
  <c r="J9" i="4"/>
  <c r="F9" i="4"/>
  <c r="R9" i="4" s="1"/>
  <c r="T9" i="4" s="1"/>
  <c r="U9" i="4" s="1"/>
  <c r="B9" i="4"/>
  <c r="N8" i="4"/>
  <c r="J8" i="4"/>
  <c r="F8" i="4"/>
  <c r="B8" i="4"/>
  <c r="R8" i="4" s="1"/>
  <c r="T8" i="4" s="1"/>
  <c r="U8" i="4" s="1"/>
  <c r="N7" i="4"/>
  <c r="J7" i="4"/>
  <c r="F7" i="4"/>
  <c r="B7" i="4"/>
  <c r="R7" i="4" s="1"/>
  <c r="T7" i="4" s="1"/>
  <c r="U7" i="4" s="1"/>
  <c r="R6" i="4"/>
  <c r="N6" i="4"/>
  <c r="J6" i="4"/>
  <c r="F6" i="4"/>
  <c r="B6" i="4"/>
  <c r="W93" i="3"/>
  <c r="X93" i="3" s="1"/>
  <c r="V92" i="3"/>
  <c r="V94" i="3" s="1"/>
  <c r="U92" i="3"/>
  <c r="U94" i="3" s="1"/>
  <c r="S92" i="3"/>
  <c r="S94" i="3" s="1"/>
  <c r="R92" i="3"/>
  <c r="R94" i="3" s="1"/>
  <c r="Q92" i="3"/>
  <c r="Q94" i="3" s="1"/>
  <c r="O92" i="3"/>
  <c r="O94" i="3" s="1"/>
  <c r="N92" i="3"/>
  <c r="N94" i="3" s="1"/>
  <c r="M92" i="3"/>
  <c r="M94" i="3" s="1"/>
  <c r="K92" i="3"/>
  <c r="K94" i="3" s="1"/>
  <c r="J92" i="3"/>
  <c r="J94" i="3" s="1"/>
  <c r="I92" i="3"/>
  <c r="I94" i="3" s="1"/>
  <c r="G92" i="3"/>
  <c r="G94" i="3" s="1"/>
  <c r="F92" i="3"/>
  <c r="F94" i="3" s="1"/>
  <c r="E92" i="3"/>
  <c r="E94" i="3" s="1"/>
  <c r="C92" i="3"/>
  <c r="C94" i="3" s="1"/>
  <c r="P91" i="3"/>
  <c r="L91" i="3"/>
  <c r="H91" i="3"/>
  <c r="D91" i="3"/>
  <c r="T91" i="3" s="1"/>
  <c r="W91" i="3" s="1"/>
  <c r="X91" i="3" s="1"/>
  <c r="T90" i="3"/>
  <c r="W90" i="3" s="1"/>
  <c r="X90" i="3" s="1"/>
  <c r="P90" i="3"/>
  <c r="L90" i="3"/>
  <c r="H90" i="3"/>
  <c r="D90" i="3"/>
  <c r="P89" i="3"/>
  <c r="T89" i="3" s="1"/>
  <c r="W89" i="3" s="1"/>
  <c r="X89" i="3" s="1"/>
  <c r="L89" i="3"/>
  <c r="H89" i="3"/>
  <c r="D89" i="3"/>
  <c r="P88" i="3"/>
  <c r="L88" i="3"/>
  <c r="T88" i="3" s="1"/>
  <c r="W88" i="3" s="1"/>
  <c r="X88" i="3" s="1"/>
  <c r="H88" i="3"/>
  <c r="D88" i="3"/>
  <c r="P87" i="3"/>
  <c r="L87" i="3"/>
  <c r="H87" i="3"/>
  <c r="T87" i="3" s="1"/>
  <c r="W87" i="3" s="1"/>
  <c r="X87" i="3" s="1"/>
  <c r="D87" i="3"/>
  <c r="P86" i="3"/>
  <c r="L86" i="3"/>
  <c r="H86" i="3"/>
  <c r="D86" i="3"/>
  <c r="T86" i="3" s="1"/>
  <c r="W86" i="3" s="1"/>
  <c r="X86" i="3" s="1"/>
  <c r="P85" i="3"/>
  <c r="L85" i="3"/>
  <c r="H85" i="3"/>
  <c r="D85" i="3"/>
  <c r="T85" i="3" s="1"/>
  <c r="W85" i="3" s="1"/>
  <c r="X85" i="3" s="1"/>
  <c r="P84" i="3"/>
  <c r="L84" i="3"/>
  <c r="H84" i="3"/>
  <c r="D84" i="3"/>
  <c r="T84" i="3" s="1"/>
  <c r="W84" i="3" s="1"/>
  <c r="X84" i="3" s="1"/>
  <c r="P83" i="3"/>
  <c r="L83" i="3"/>
  <c r="H83" i="3"/>
  <c r="D83" i="3"/>
  <c r="T83" i="3" s="1"/>
  <c r="W83" i="3" s="1"/>
  <c r="X83" i="3" s="1"/>
  <c r="T82" i="3"/>
  <c r="W82" i="3" s="1"/>
  <c r="X82" i="3" s="1"/>
  <c r="P82" i="3"/>
  <c r="L82" i="3"/>
  <c r="H82" i="3"/>
  <c r="D82" i="3"/>
  <c r="P81" i="3"/>
  <c r="T81" i="3" s="1"/>
  <c r="W81" i="3" s="1"/>
  <c r="X81" i="3" s="1"/>
  <c r="L81" i="3"/>
  <c r="H81" i="3"/>
  <c r="D81" i="3"/>
  <c r="P80" i="3"/>
  <c r="L80" i="3"/>
  <c r="T80" i="3" s="1"/>
  <c r="W80" i="3" s="1"/>
  <c r="X80" i="3" s="1"/>
  <c r="H80" i="3"/>
  <c r="D80" i="3"/>
  <c r="P79" i="3"/>
  <c r="L79" i="3"/>
  <c r="H79" i="3"/>
  <c r="T79" i="3" s="1"/>
  <c r="W79" i="3" s="1"/>
  <c r="X79" i="3" s="1"/>
  <c r="D79" i="3"/>
  <c r="P78" i="3"/>
  <c r="L78" i="3"/>
  <c r="H78" i="3"/>
  <c r="D78" i="3"/>
  <c r="T78" i="3" s="1"/>
  <c r="W78" i="3" s="1"/>
  <c r="X78" i="3" s="1"/>
  <c r="P77" i="3"/>
  <c r="L77" i="3"/>
  <c r="H77" i="3"/>
  <c r="D77" i="3"/>
  <c r="T77" i="3" s="1"/>
  <c r="W77" i="3" s="1"/>
  <c r="X77" i="3" s="1"/>
  <c r="P76" i="3"/>
  <c r="L76" i="3"/>
  <c r="H76" i="3"/>
  <c r="D76" i="3"/>
  <c r="T76" i="3" s="1"/>
  <c r="W76" i="3" s="1"/>
  <c r="X76" i="3" s="1"/>
  <c r="P75" i="3"/>
  <c r="L75" i="3"/>
  <c r="H75" i="3"/>
  <c r="D75" i="3"/>
  <c r="T75" i="3" s="1"/>
  <c r="W75" i="3" s="1"/>
  <c r="X75" i="3" s="1"/>
  <c r="T74" i="3"/>
  <c r="W74" i="3" s="1"/>
  <c r="X74" i="3" s="1"/>
  <c r="P74" i="3"/>
  <c r="L74" i="3"/>
  <c r="H74" i="3"/>
  <c r="D74" i="3"/>
  <c r="P73" i="3"/>
  <c r="T73" i="3" s="1"/>
  <c r="W73" i="3" s="1"/>
  <c r="X73" i="3" s="1"/>
  <c r="L73" i="3"/>
  <c r="H73" i="3"/>
  <c r="D73" i="3"/>
  <c r="P72" i="3"/>
  <c r="L72" i="3"/>
  <c r="T72" i="3" s="1"/>
  <c r="W72" i="3" s="1"/>
  <c r="X72" i="3" s="1"/>
  <c r="H72" i="3"/>
  <c r="D72" i="3"/>
  <c r="P71" i="3"/>
  <c r="L71" i="3"/>
  <c r="H71" i="3"/>
  <c r="T71" i="3" s="1"/>
  <c r="W71" i="3" s="1"/>
  <c r="X71" i="3" s="1"/>
  <c r="D71" i="3"/>
  <c r="P70" i="3"/>
  <c r="L70" i="3"/>
  <c r="H70" i="3"/>
  <c r="D70" i="3"/>
  <c r="T70" i="3" s="1"/>
  <c r="W70" i="3" s="1"/>
  <c r="X70" i="3" s="1"/>
  <c r="P69" i="3"/>
  <c r="L69" i="3"/>
  <c r="H69" i="3"/>
  <c r="D69" i="3"/>
  <c r="T69" i="3" s="1"/>
  <c r="W69" i="3" s="1"/>
  <c r="X69" i="3" s="1"/>
  <c r="P68" i="3"/>
  <c r="L68" i="3"/>
  <c r="H68" i="3"/>
  <c r="D68" i="3"/>
  <c r="T68" i="3" s="1"/>
  <c r="W68" i="3" s="1"/>
  <c r="X68" i="3" s="1"/>
  <c r="P67" i="3"/>
  <c r="L67" i="3"/>
  <c r="H67" i="3"/>
  <c r="D67" i="3"/>
  <c r="T67" i="3" s="1"/>
  <c r="W67" i="3" s="1"/>
  <c r="X67" i="3" s="1"/>
  <c r="T66" i="3"/>
  <c r="W66" i="3" s="1"/>
  <c r="X66" i="3" s="1"/>
  <c r="P66" i="3"/>
  <c r="L66" i="3"/>
  <c r="H66" i="3"/>
  <c r="D66" i="3"/>
  <c r="P65" i="3"/>
  <c r="T65" i="3" s="1"/>
  <c r="W65" i="3" s="1"/>
  <c r="X65" i="3" s="1"/>
  <c r="L65" i="3"/>
  <c r="H65" i="3"/>
  <c r="D65" i="3"/>
  <c r="P64" i="3"/>
  <c r="L64" i="3"/>
  <c r="T64" i="3" s="1"/>
  <c r="W64" i="3" s="1"/>
  <c r="X64" i="3" s="1"/>
  <c r="H64" i="3"/>
  <c r="D64" i="3"/>
  <c r="P63" i="3"/>
  <c r="L63" i="3"/>
  <c r="H63" i="3"/>
  <c r="T63" i="3" s="1"/>
  <c r="W63" i="3" s="1"/>
  <c r="X63" i="3" s="1"/>
  <c r="D63" i="3"/>
  <c r="P62" i="3"/>
  <c r="L62" i="3"/>
  <c r="H62" i="3"/>
  <c r="D62" i="3"/>
  <c r="T62" i="3" s="1"/>
  <c r="W62" i="3" s="1"/>
  <c r="X62" i="3" s="1"/>
  <c r="P61" i="3"/>
  <c r="L61" i="3"/>
  <c r="H61" i="3"/>
  <c r="D61" i="3"/>
  <c r="T61" i="3" s="1"/>
  <c r="W61" i="3" s="1"/>
  <c r="X61" i="3" s="1"/>
  <c r="P60" i="3"/>
  <c r="L60" i="3"/>
  <c r="H60" i="3"/>
  <c r="D60" i="3"/>
  <c r="T60" i="3" s="1"/>
  <c r="W60" i="3" s="1"/>
  <c r="X60" i="3" s="1"/>
  <c r="P59" i="3"/>
  <c r="L59" i="3"/>
  <c r="H59" i="3"/>
  <c r="D59" i="3"/>
  <c r="T59" i="3" s="1"/>
  <c r="W59" i="3" s="1"/>
  <c r="X59" i="3" s="1"/>
  <c r="T58" i="3"/>
  <c r="W58" i="3" s="1"/>
  <c r="X58" i="3" s="1"/>
  <c r="P58" i="3"/>
  <c r="L58" i="3"/>
  <c r="H58" i="3"/>
  <c r="D58" i="3"/>
  <c r="P57" i="3"/>
  <c r="T57" i="3" s="1"/>
  <c r="W57" i="3" s="1"/>
  <c r="X57" i="3" s="1"/>
  <c r="L57" i="3"/>
  <c r="H57" i="3"/>
  <c r="D57" i="3"/>
  <c r="P56" i="3"/>
  <c r="L56" i="3"/>
  <c r="T56" i="3" s="1"/>
  <c r="W56" i="3" s="1"/>
  <c r="X56" i="3" s="1"/>
  <c r="H56" i="3"/>
  <c r="D56" i="3"/>
  <c r="P55" i="3"/>
  <c r="L55" i="3"/>
  <c r="H55" i="3"/>
  <c r="T55" i="3" s="1"/>
  <c r="W55" i="3" s="1"/>
  <c r="X55" i="3" s="1"/>
  <c r="D55" i="3"/>
  <c r="P54" i="3"/>
  <c r="L54" i="3"/>
  <c r="H54" i="3"/>
  <c r="D54" i="3"/>
  <c r="T54" i="3" s="1"/>
  <c r="W54" i="3" s="1"/>
  <c r="X54" i="3" s="1"/>
  <c r="P53" i="3"/>
  <c r="L53" i="3"/>
  <c r="H53" i="3"/>
  <c r="D53" i="3"/>
  <c r="T53" i="3" s="1"/>
  <c r="W53" i="3" s="1"/>
  <c r="X53" i="3" s="1"/>
  <c r="P52" i="3"/>
  <c r="L52" i="3"/>
  <c r="H52" i="3"/>
  <c r="D52" i="3"/>
  <c r="T52" i="3" s="1"/>
  <c r="W52" i="3" s="1"/>
  <c r="X52" i="3" s="1"/>
  <c r="P51" i="3"/>
  <c r="L51" i="3"/>
  <c r="H51" i="3"/>
  <c r="D51" i="3"/>
  <c r="T51" i="3" s="1"/>
  <c r="W51" i="3" s="1"/>
  <c r="X51" i="3" s="1"/>
  <c r="T50" i="3"/>
  <c r="W50" i="3" s="1"/>
  <c r="X50" i="3" s="1"/>
  <c r="P50" i="3"/>
  <c r="L50" i="3"/>
  <c r="H50" i="3"/>
  <c r="D50" i="3"/>
  <c r="P49" i="3"/>
  <c r="T49" i="3" s="1"/>
  <c r="W49" i="3" s="1"/>
  <c r="X49" i="3" s="1"/>
  <c r="L49" i="3"/>
  <c r="H49" i="3"/>
  <c r="D49" i="3"/>
  <c r="P48" i="3"/>
  <c r="L48" i="3"/>
  <c r="T48" i="3" s="1"/>
  <c r="W48" i="3" s="1"/>
  <c r="X48" i="3" s="1"/>
  <c r="H48" i="3"/>
  <c r="D48" i="3"/>
  <c r="P47" i="3"/>
  <c r="L47" i="3"/>
  <c r="H47" i="3"/>
  <c r="T47" i="3" s="1"/>
  <c r="W47" i="3" s="1"/>
  <c r="X47" i="3" s="1"/>
  <c r="D47" i="3"/>
  <c r="P46" i="3"/>
  <c r="L46" i="3"/>
  <c r="H46" i="3"/>
  <c r="D46" i="3"/>
  <c r="T46" i="3" s="1"/>
  <c r="W46" i="3" s="1"/>
  <c r="X46" i="3" s="1"/>
  <c r="P45" i="3"/>
  <c r="L45" i="3"/>
  <c r="H45" i="3"/>
  <c r="D45" i="3"/>
  <c r="T45" i="3" s="1"/>
  <c r="W45" i="3" s="1"/>
  <c r="X45" i="3" s="1"/>
  <c r="P44" i="3"/>
  <c r="L44" i="3"/>
  <c r="H44" i="3"/>
  <c r="D44" i="3"/>
  <c r="T44" i="3" s="1"/>
  <c r="W44" i="3" s="1"/>
  <c r="X44" i="3" s="1"/>
  <c r="P43" i="3"/>
  <c r="L43" i="3"/>
  <c r="H43" i="3"/>
  <c r="D43" i="3"/>
  <c r="T43" i="3" s="1"/>
  <c r="W43" i="3" s="1"/>
  <c r="X43" i="3" s="1"/>
  <c r="T42" i="3"/>
  <c r="W42" i="3" s="1"/>
  <c r="X42" i="3" s="1"/>
  <c r="P42" i="3"/>
  <c r="L42" i="3"/>
  <c r="H42" i="3"/>
  <c r="D42" i="3"/>
  <c r="P41" i="3"/>
  <c r="T41" i="3" s="1"/>
  <c r="W41" i="3" s="1"/>
  <c r="X41" i="3" s="1"/>
  <c r="L41" i="3"/>
  <c r="H41" i="3"/>
  <c r="D41" i="3"/>
  <c r="P40" i="3"/>
  <c r="L40" i="3"/>
  <c r="T40" i="3" s="1"/>
  <c r="W40" i="3" s="1"/>
  <c r="X40" i="3" s="1"/>
  <c r="H40" i="3"/>
  <c r="D40" i="3"/>
  <c r="P39" i="3"/>
  <c r="L39" i="3"/>
  <c r="H39" i="3"/>
  <c r="T39" i="3" s="1"/>
  <c r="W39" i="3" s="1"/>
  <c r="X39" i="3" s="1"/>
  <c r="D39" i="3"/>
  <c r="P38" i="3"/>
  <c r="L38" i="3"/>
  <c r="H38" i="3"/>
  <c r="D38" i="3"/>
  <c r="T38" i="3" s="1"/>
  <c r="W38" i="3" s="1"/>
  <c r="X38" i="3" s="1"/>
  <c r="P37" i="3"/>
  <c r="L37" i="3"/>
  <c r="H37" i="3"/>
  <c r="D37" i="3"/>
  <c r="T37" i="3" s="1"/>
  <c r="W37" i="3" s="1"/>
  <c r="X37" i="3" s="1"/>
  <c r="P36" i="3"/>
  <c r="L36" i="3"/>
  <c r="H36" i="3"/>
  <c r="D36" i="3"/>
  <c r="T36" i="3" s="1"/>
  <c r="W36" i="3" s="1"/>
  <c r="X36" i="3" s="1"/>
  <c r="P35" i="3"/>
  <c r="L35" i="3"/>
  <c r="H35" i="3"/>
  <c r="D35" i="3"/>
  <c r="T35" i="3" s="1"/>
  <c r="W35" i="3" s="1"/>
  <c r="X35" i="3" s="1"/>
  <c r="T34" i="3"/>
  <c r="W34" i="3" s="1"/>
  <c r="X34" i="3" s="1"/>
  <c r="P34" i="3"/>
  <c r="L34" i="3"/>
  <c r="H34" i="3"/>
  <c r="D34" i="3"/>
  <c r="P33" i="3"/>
  <c r="T33" i="3" s="1"/>
  <c r="W33" i="3" s="1"/>
  <c r="X33" i="3" s="1"/>
  <c r="L33" i="3"/>
  <c r="H33" i="3"/>
  <c r="D33" i="3"/>
  <c r="P32" i="3"/>
  <c r="L32" i="3"/>
  <c r="T32" i="3" s="1"/>
  <c r="W32" i="3" s="1"/>
  <c r="X32" i="3" s="1"/>
  <c r="H32" i="3"/>
  <c r="D32" i="3"/>
  <c r="P31" i="3"/>
  <c r="L31" i="3"/>
  <c r="H31" i="3"/>
  <c r="T31" i="3" s="1"/>
  <c r="W31" i="3" s="1"/>
  <c r="X31" i="3" s="1"/>
  <c r="D31" i="3"/>
  <c r="P30" i="3"/>
  <c r="L30" i="3"/>
  <c r="H30" i="3"/>
  <c r="D30" i="3"/>
  <c r="T30" i="3" s="1"/>
  <c r="W30" i="3" s="1"/>
  <c r="X30" i="3" s="1"/>
  <c r="P29" i="3"/>
  <c r="L29" i="3"/>
  <c r="H29" i="3"/>
  <c r="D29" i="3"/>
  <c r="T29" i="3" s="1"/>
  <c r="W29" i="3" s="1"/>
  <c r="X29" i="3" s="1"/>
  <c r="P28" i="3"/>
  <c r="L28" i="3"/>
  <c r="H28" i="3"/>
  <c r="D28" i="3"/>
  <c r="T28" i="3" s="1"/>
  <c r="W28" i="3" s="1"/>
  <c r="X28" i="3" s="1"/>
  <c r="P27" i="3"/>
  <c r="L27" i="3"/>
  <c r="H27" i="3"/>
  <c r="D27" i="3"/>
  <c r="T27" i="3" s="1"/>
  <c r="W27" i="3" s="1"/>
  <c r="X27" i="3" s="1"/>
  <c r="T26" i="3"/>
  <c r="W26" i="3" s="1"/>
  <c r="X26" i="3" s="1"/>
  <c r="P26" i="3"/>
  <c r="L26" i="3"/>
  <c r="H26" i="3"/>
  <c r="D26" i="3"/>
  <c r="P25" i="3"/>
  <c r="T25" i="3" s="1"/>
  <c r="W25" i="3" s="1"/>
  <c r="X25" i="3" s="1"/>
  <c r="L25" i="3"/>
  <c r="H25" i="3"/>
  <c r="D25" i="3"/>
  <c r="P24" i="3"/>
  <c r="L24" i="3"/>
  <c r="T24" i="3" s="1"/>
  <c r="W24" i="3" s="1"/>
  <c r="X24" i="3" s="1"/>
  <c r="H24" i="3"/>
  <c r="D24" i="3"/>
  <c r="P23" i="3"/>
  <c r="L23" i="3"/>
  <c r="H23" i="3"/>
  <c r="T23" i="3" s="1"/>
  <c r="W23" i="3" s="1"/>
  <c r="X23" i="3" s="1"/>
  <c r="D23" i="3"/>
  <c r="P22" i="3"/>
  <c r="L22" i="3"/>
  <c r="H22" i="3"/>
  <c r="D22" i="3"/>
  <c r="T22" i="3" s="1"/>
  <c r="W22" i="3" s="1"/>
  <c r="X22" i="3" s="1"/>
  <c r="P21" i="3"/>
  <c r="L21" i="3"/>
  <c r="H21" i="3"/>
  <c r="D21" i="3"/>
  <c r="T21" i="3" s="1"/>
  <c r="W21" i="3" s="1"/>
  <c r="X21" i="3" s="1"/>
  <c r="P20" i="3"/>
  <c r="L20" i="3"/>
  <c r="H20" i="3"/>
  <c r="D20" i="3"/>
  <c r="T20" i="3" s="1"/>
  <c r="W20" i="3" s="1"/>
  <c r="X20" i="3" s="1"/>
  <c r="P19" i="3"/>
  <c r="L19" i="3"/>
  <c r="H19" i="3"/>
  <c r="D19" i="3"/>
  <c r="T19" i="3" s="1"/>
  <c r="W19" i="3" s="1"/>
  <c r="X19" i="3" s="1"/>
  <c r="T18" i="3"/>
  <c r="W18" i="3" s="1"/>
  <c r="X18" i="3" s="1"/>
  <c r="P18" i="3"/>
  <c r="L18" i="3"/>
  <c r="H18" i="3"/>
  <c r="D18" i="3"/>
  <c r="P17" i="3"/>
  <c r="T17" i="3" s="1"/>
  <c r="W17" i="3" s="1"/>
  <c r="X17" i="3" s="1"/>
  <c r="L17" i="3"/>
  <c r="H17" i="3"/>
  <c r="D17" i="3"/>
  <c r="P16" i="3"/>
  <c r="L16" i="3"/>
  <c r="T16" i="3" s="1"/>
  <c r="W16" i="3" s="1"/>
  <c r="X16" i="3" s="1"/>
  <c r="H16" i="3"/>
  <c r="D16" i="3"/>
  <c r="P15" i="3"/>
  <c r="L15" i="3"/>
  <c r="H15" i="3"/>
  <c r="T15" i="3" s="1"/>
  <c r="W15" i="3" s="1"/>
  <c r="X15" i="3" s="1"/>
  <c r="D15" i="3"/>
  <c r="P14" i="3"/>
  <c r="L14" i="3"/>
  <c r="H14" i="3"/>
  <c r="D14" i="3"/>
  <c r="T14" i="3" s="1"/>
  <c r="W14" i="3" s="1"/>
  <c r="X14" i="3" s="1"/>
  <c r="P13" i="3"/>
  <c r="L13" i="3"/>
  <c r="H13" i="3"/>
  <c r="D13" i="3"/>
  <c r="T13" i="3" s="1"/>
  <c r="W13" i="3" s="1"/>
  <c r="X13" i="3" s="1"/>
  <c r="P12" i="3"/>
  <c r="L12" i="3"/>
  <c r="H12" i="3"/>
  <c r="D12" i="3"/>
  <c r="T12" i="3" s="1"/>
  <c r="W12" i="3" s="1"/>
  <c r="X12" i="3" s="1"/>
  <c r="P11" i="3"/>
  <c r="L11" i="3"/>
  <c r="H11" i="3"/>
  <c r="D11" i="3"/>
  <c r="T11" i="3" s="1"/>
  <c r="W11" i="3" s="1"/>
  <c r="X11" i="3" s="1"/>
  <c r="T10" i="3"/>
  <c r="W10" i="3" s="1"/>
  <c r="X10" i="3" s="1"/>
  <c r="P10" i="3"/>
  <c r="L10" i="3"/>
  <c r="H10" i="3"/>
  <c r="D10" i="3"/>
  <c r="P9" i="3"/>
  <c r="T9" i="3" s="1"/>
  <c r="W9" i="3" s="1"/>
  <c r="X9" i="3" s="1"/>
  <c r="L9" i="3"/>
  <c r="H9" i="3"/>
  <c r="D9" i="3"/>
  <c r="P8" i="3"/>
  <c r="L8" i="3"/>
  <c r="T8" i="3" s="1"/>
  <c r="W8" i="3" s="1"/>
  <c r="X8" i="3" s="1"/>
  <c r="H8" i="3"/>
  <c r="D8" i="3"/>
  <c r="P7" i="3"/>
  <c r="L7" i="3"/>
  <c r="H7" i="3"/>
  <c r="T7" i="3" s="1"/>
  <c r="W7" i="3" s="1"/>
  <c r="X7" i="3" s="1"/>
  <c r="D7" i="3"/>
  <c r="P6" i="3"/>
  <c r="L6" i="3"/>
  <c r="H6" i="3"/>
  <c r="D6" i="3"/>
  <c r="T6" i="3" s="1"/>
  <c r="W6" i="3" s="1"/>
  <c r="X6" i="3" s="1"/>
  <c r="P5" i="3"/>
  <c r="L5" i="3"/>
  <c r="H5" i="3"/>
  <c r="D5" i="3"/>
  <c r="T5" i="3" s="1"/>
  <c r="W5" i="3" s="1"/>
  <c r="X5" i="3" s="1"/>
  <c r="P4" i="3"/>
  <c r="P92" i="3" s="1"/>
  <c r="P94" i="3" s="1"/>
  <c r="L4" i="3"/>
  <c r="L92" i="3" s="1"/>
  <c r="L94" i="3" s="1"/>
  <c r="H4" i="3"/>
  <c r="H92" i="3" s="1"/>
  <c r="H94" i="3" s="1"/>
  <c r="D4" i="3"/>
  <c r="T4" i="3" s="1"/>
  <c r="W4" i="3" s="1"/>
  <c r="X4" i="3" s="1"/>
  <c r="Q32" i="2"/>
  <c r="I32" i="2"/>
  <c r="S31" i="2"/>
  <c r="R31" i="2"/>
  <c r="Q31" i="2"/>
  <c r="O31" i="2"/>
  <c r="N31" i="2"/>
  <c r="M31" i="2"/>
  <c r="K31" i="2"/>
  <c r="J31" i="2"/>
  <c r="I31" i="2"/>
  <c r="H31" i="2"/>
  <c r="G31" i="2"/>
  <c r="F31" i="2"/>
  <c r="E31" i="2"/>
  <c r="C31" i="2"/>
  <c r="P30" i="2"/>
  <c r="T30" i="2" s="1"/>
  <c r="L30" i="2"/>
  <c r="H30" i="2"/>
  <c r="D30" i="2"/>
  <c r="P29" i="2"/>
  <c r="T29" i="2" s="1"/>
  <c r="L29" i="2"/>
  <c r="H29" i="2"/>
  <c r="D29" i="2"/>
  <c r="P28" i="2"/>
  <c r="T28" i="2" s="1"/>
  <c r="L28" i="2"/>
  <c r="H28" i="2"/>
  <c r="D28" i="2"/>
  <c r="P27" i="2"/>
  <c r="T27" i="2" s="1"/>
  <c r="L27" i="2"/>
  <c r="H27" i="2"/>
  <c r="D27" i="2"/>
  <c r="P26" i="2"/>
  <c r="T26" i="2" s="1"/>
  <c r="L26" i="2"/>
  <c r="H26" i="2"/>
  <c r="D26" i="2"/>
  <c r="P25" i="2"/>
  <c r="T25" i="2" s="1"/>
  <c r="L25" i="2"/>
  <c r="H25" i="2"/>
  <c r="D25" i="2"/>
  <c r="P24" i="2"/>
  <c r="T24" i="2" s="1"/>
  <c r="L24" i="2"/>
  <c r="L31" i="2" s="1"/>
  <c r="H24" i="2"/>
  <c r="D24" i="2"/>
  <c r="D31" i="2" s="1"/>
  <c r="S22" i="2"/>
  <c r="R22" i="2"/>
  <c r="Q22" i="2"/>
  <c r="O22" i="2"/>
  <c r="N22" i="2"/>
  <c r="M22" i="2"/>
  <c r="K22" i="2"/>
  <c r="J22" i="2"/>
  <c r="I22" i="2"/>
  <c r="G22" i="2"/>
  <c r="F22" i="2"/>
  <c r="E22" i="2"/>
  <c r="C22" i="2"/>
  <c r="T21" i="2"/>
  <c r="P21" i="2"/>
  <c r="L21" i="2"/>
  <c r="H21" i="2"/>
  <c r="D21" i="2"/>
  <c r="P20" i="2"/>
  <c r="T20" i="2" s="1"/>
  <c r="L20" i="2"/>
  <c r="H20" i="2"/>
  <c r="D20" i="2"/>
  <c r="P19" i="2"/>
  <c r="T19" i="2" s="1"/>
  <c r="L19" i="2"/>
  <c r="H19" i="2"/>
  <c r="D19" i="2"/>
  <c r="P18" i="2"/>
  <c r="T18" i="2" s="1"/>
  <c r="L18" i="2"/>
  <c r="H18" i="2"/>
  <c r="D18" i="2"/>
  <c r="T17" i="2"/>
  <c r="P17" i="2"/>
  <c r="L17" i="2"/>
  <c r="H17" i="2"/>
  <c r="D17" i="2"/>
  <c r="P16" i="2"/>
  <c r="T16" i="2" s="1"/>
  <c r="L16" i="2"/>
  <c r="H16" i="2"/>
  <c r="D16" i="2"/>
  <c r="P15" i="2"/>
  <c r="T15" i="2" s="1"/>
  <c r="L15" i="2"/>
  <c r="L22" i="2" s="1"/>
  <c r="H15" i="2"/>
  <c r="H22" i="2" s="1"/>
  <c r="D15" i="2"/>
  <c r="D22" i="2" s="1"/>
  <c r="S13" i="2"/>
  <c r="S32" i="2" s="1"/>
  <c r="R13" i="2"/>
  <c r="R32" i="2" s="1"/>
  <c r="Q13" i="2"/>
  <c r="O13" i="2"/>
  <c r="O32" i="2" s="1"/>
  <c r="N13" i="2"/>
  <c r="N32" i="2" s="1"/>
  <c r="M13" i="2"/>
  <c r="M32" i="2" s="1"/>
  <c r="K13" i="2"/>
  <c r="K32" i="2" s="1"/>
  <c r="J13" i="2"/>
  <c r="J32" i="2" s="1"/>
  <c r="I13" i="2"/>
  <c r="G13" i="2"/>
  <c r="G32" i="2" s="1"/>
  <c r="F13" i="2"/>
  <c r="F32" i="2" s="1"/>
  <c r="E13" i="2"/>
  <c r="E32" i="2" s="1"/>
  <c r="C13" i="2"/>
  <c r="C32" i="2" s="1"/>
  <c r="P12" i="2"/>
  <c r="T12" i="2" s="1"/>
  <c r="B12" i="2" s="1"/>
  <c r="L12" i="2"/>
  <c r="H12" i="2"/>
  <c r="D12" i="2"/>
  <c r="P11" i="2"/>
  <c r="T11" i="2" s="1"/>
  <c r="B11" i="2" s="1"/>
  <c r="L11" i="2"/>
  <c r="H11" i="2"/>
  <c r="D11" i="2"/>
  <c r="P10" i="2"/>
  <c r="T10" i="2" s="1"/>
  <c r="B10" i="2" s="1"/>
  <c r="L10" i="2"/>
  <c r="H10" i="2"/>
  <c r="D10" i="2"/>
  <c r="P9" i="2"/>
  <c r="L9" i="2"/>
  <c r="H9" i="2"/>
  <c r="D9" i="2"/>
  <c r="T9" i="2" s="1"/>
  <c r="B9" i="2" s="1"/>
  <c r="P8" i="2"/>
  <c r="T8" i="2" s="1"/>
  <c r="B8" i="2" s="1"/>
  <c r="L8" i="2"/>
  <c r="H8" i="2"/>
  <c r="D8" i="2"/>
  <c r="P7" i="2"/>
  <c r="T7" i="2" s="1"/>
  <c r="B7" i="2" s="1"/>
  <c r="L7" i="2"/>
  <c r="H7" i="2"/>
  <c r="D7" i="2"/>
  <c r="P6" i="2"/>
  <c r="T6" i="2" s="1"/>
  <c r="L6" i="2"/>
  <c r="L13" i="2" s="1"/>
  <c r="H6" i="2"/>
  <c r="H13" i="2" s="1"/>
  <c r="H32" i="2" s="1"/>
  <c r="D6" i="2"/>
  <c r="D13" i="2" s="1"/>
  <c r="D32" i="2" s="1"/>
  <c r="D54" i="1"/>
  <c r="S54" i="1" s="1"/>
  <c r="P50" i="1"/>
  <c r="M50" i="1"/>
  <c r="H50" i="1"/>
  <c r="E50" i="1"/>
  <c r="R49" i="1"/>
  <c r="R50" i="1" s="1"/>
  <c r="Q49" i="1"/>
  <c r="Q50" i="1" s="1"/>
  <c r="P49" i="1"/>
  <c r="O49" i="1" s="1"/>
  <c r="S49" i="1" s="1"/>
  <c r="N49" i="1"/>
  <c r="K49" i="1" s="1"/>
  <c r="M49" i="1"/>
  <c r="L49" i="1"/>
  <c r="J49" i="1"/>
  <c r="J50" i="1" s="1"/>
  <c r="I49" i="1"/>
  <c r="I50" i="1" s="1"/>
  <c r="H49" i="1"/>
  <c r="G49" i="1" s="1"/>
  <c r="F49" i="1"/>
  <c r="C49" i="1" s="1"/>
  <c r="E49" i="1"/>
  <c r="D49" i="1"/>
  <c r="O48" i="1"/>
  <c r="S48" i="1" s="1"/>
  <c r="K48" i="1"/>
  <c r="G48" i="1"/>
  <c r="C48" i="1"/>
  <c r="O47" i="1"/>
  <c r="S47" i="1" s="1"/>
  <c r="K47" i="1"/>
  <c r="G47" i="1"/>
  <c r="C47" i="1"/>
  <c r="O46" i="1"/>
  <c r="K46" i="1"/>
  <c r="S46" i="1" s="1"/>
  <c r="G46" i="1"/>
  <c r="C46" i="1"/>
  <c r="O45" i="1"/>
  <c r="S45" i="1" s="1"/>
  <c r="K45" i="1"/>
  <c r="G45" i="1"/>
  <c r="C45" i="1"/>
  <c r="R44" i="1"/>
  <c r="Q44" i="1"/>
  <c r="P44" i="1"/>
  <c r="O44" i="1"/>
  <c r="N44" i="1"/>
  <c r="N50" i="1" s="1"/>
  <c r="M44" i="1"/>
  <c r="L44" i="1"/>
  <c r="L50" i="1" s="1"/>
  <c r="K50" i="1" s="1"/>
  <c r="J44" i="1"/>
  <c r="I44" i="1"/>
  <c r="H44" i="1"/>
  <c r="G44" i="1"/>
  <c r="F44" i="1"/>
  <c r="C44" i="1" s="1"/>
  <c r="E44" i="1"/>
  <c r="D44" i="1"/>
  <c r="D50" i="1" s="1"/>
  <c r="O43" i="1"/>
  <c r="S43" i="1" s="1"/>
  <c r="K43" i="1"/>
  <c r="G43" i="1"/>
  <c r="C43" i="1"/>
  <c r="O42" i="1"/>
  <c r="K42" i="1"/>
  <c r="S42" i="1" s="1"/>
  <c r="G42" i="1"/>
  <c r="C42" i="1"/>
  <c r="O41" i="1"/>
  <c r="S41" i="1" s="1"/>
  <c r="K41" i="1"/>
  <c r="G41" i="1"/>
  <c r="C41" i="1"/>
  <c r="N39" i="1"/>
  <c r="F39" i="1"/>
  <c r="R38" i="1"/>
  <c r="Q38" i="1"/>
  <c r="P38" i="1"/>
  <c r="P39" i="1" s="1"/>
  <c r="O38" i="1"/>
  <c r="N38" i="1"/>
  <c r="M38" i="1"/>
  <c r="L38" i="1"/>
  <c r="K38" i="1" s="1"/>
  <c r="J38" i="1"/>
  <c r="I38" i="1"/>
  <c r="H38" i="1"/>
  <c r="H39" i="1" s="1"/>
  <c r="G38" i="1"/>
  <c r="F38" i="1"/>
  <c r="E38" i="1"/>
  <c r="D38" i="1"/>
  <c r="C38" i="1" s="1"/>
  <c r="O37" i="1"/>
  <c r="S37" i="1" s="1"/>
  <c r="K37" i="1"/>
  <c r="G37" i="1"/>
  <c r="C37" i="1"/>
  <c r="O36" i="1"/>
  <c r="S36" i="1" s="1"/>
  <c r="K36" i="1"/>
  <c r="G36" i="1"/>
  <c r="C36" i="1"/>
  <c r="O35" i="1"/>
  <c r="S35" i="1" s="1"/>
  <c r="K35" i="1"/>
  <c r="G35" i="1"/>
  <c r="C35" i="1"/>
  <c r="O34" i="1"/>
  <c r="K34" i="1"/>
  <c r="S34" i="1" s="1"/>
  <c r="G34" i="1"/>
  <c r="C34" i="1"/>
  <c r="O33" i="1"/>
  <c r="S33" i="1" s="1"/>
  <c r="K33" i="1"/>
  <c r="G33" i="1"/>
  <c r="C33" i="1"/>
  <c r="R31" i="1"/>
  <c r="R39" i="1" s="1"/>
  <c r="Q31" i="1"/>
  <c r="O31" i="1" s="1"/>
  <c r="P31" i="1"/>
  <c r="N31" i="1"/>
  <c r="K31" i="1" s="1"/>
  <c r="M31" i="1"/>
  <c r="M39" i="1" s="1"/>
  <c r="L31" i="1"/>
  <c r="L39" i="1" s="1"/>
  <c r="K39" i="1" s="1"/>
  <c r="J31" i="1"/>
  <c r="J39" i="1" s="1"/>
  <c r="I31" i="1"/>
  <c r="G31" i="1" s="1"/>
  <c r="H31" i="1"/>
  <c r="F31" i="1"/>
  <c r="C31" i="1" s="1"/>
  <c r="E31" i="1"/>
  <c r="E39" i="1" s="1"/>
  <c r="D31" i="1"/>
  <c r="D39" i="1" s="1"/>
  <c r="C39" i="1" s="1"/>
  <c r="O30" i="1"/>
  <c r="S30" i="1" s="1"/>
  <c r="K30" i="1"/>
  <c r="G30" i="1"/>
  <c r="C30" i="1"/>
  <c r="O29" i="1"/>
  <c r="S29" i="1" s="1"/>
  <c r="K29" i="1"/>
  <c r="G29" i="1"/>
  <c r="C29" i="1"/>
  <c r="O28" i="1"/>
  <c r="S28" i="1" s="1"/>
  <c r="K28" i="1"/>
  <c r="G28" i="1"/>
  <c r="C28" i="1"/>
  <c r="O27" i="1"/>
  <c r="S27" i="1" s="1"/>
  <c r="K27" i="1"/>
  <c r="G27" i="1"/>
  <c r="C27" i="1"/>
  <c r="O26" i="1"/>
  <c r="K26" i="1"/>
  <c r="G26" i="1"/>
  <c r="C26" i="1"/>
  <c r="S26" i="1" s="1"/>
  <c r="Q22" i="1"/>
  <c r="Q51" i="1" s="1"/>
  <c r="N22" i="1"/>
  <c r="N51" i="1" s="1"/>
  <c r="M22" i="1"/>
  <c r="M51" i="1" s="1"/>
  <c r="L22" i="1"/>
  <c r="K22" i="1" s="1"/>
  <c r="I22" i="1"/>
  <c r="I51" i="1" s="1"/>
  <c r="F22" i="1"/>
  <c r="F51" i="1" s="1"/>
  <c r="E22" i="1"/>
  <c r="E51" i="1" s="1"/>
  <c r="D22" i="1"/>
  <c r="C22" i="1" s="1"/>
  <c r="O21" i="1"/>
  <c r="S21" i="1" s="1"/>
  <c r="K21" i="1"/>
  <c r="G21" i="1"/>
  <c r="C21" i="1"/>
  <c r="O20" i="1"/>
  <c r="S20" i="1" s="1"/>
  <c r="K20" i="1"/>
  <c r="G20" i="1"/>
  <c r="C20" i="1"/>
  <c r="R19" i="1"/>
  <c r="Q19" i="1"/>
  <c r="P19" i="1"/>
  <c r="O19" i="1"/>
  <c r="N19" i="1"/>
  <c r="M19" i="1"/>
  <c r="L19" i="1"/>
  <c r="K19" i="1" s="1"/>
  <c r="J19" i="1"/>
  <c r="I19" i="1"/>
  <c r="H19" i="1"/>
  <c r="G19" i="1"/>
  <c r="F19" i="1"/>
  <c r="E19" i="1"/>
  <c r="D19" i="1"/>
  <c r="C19" i="1" s="1"/>
  <c r="O18" i="1"/>
  <c r="S18" i="1" s="1"/>
  <c r="K18" i="1"/>
  <c r="G18" i="1"/>
  <c r="C18" i="1"/>
  <c r="O17" i="1"/>
  <c r="S17" i="1" s="1"/>
  <c r="K17" i="1"/>
  <c r="G17" i="1"/>
  <c r="C17" i="1"/>
  <c r="R16" i="1"/>
  <c r="R22" i="1" s="1"/>
  <c r="R51" i="1" s="1"/>
  <c r="Q16" i="1"/>
  <c r="P16" i="1"/>
  <c r="P22" i="1" s="1"/>
  <c r="N16" i="1"/>
  <c r="M16" i="1"/>
  <c r="L16" i="1"/>
  <c r="K16" i="1"/>
  <c r="J16" i="1"/>
  <c r="G16" i="1" s="1"/>
  <c r="I16" i="1"/>
  <c r="H16" i="1"/>
  <c r="H22" i="1" s="1"/>
  <c r="F16" i="1"/>
  <c r="E16" i="1"/>
  <c r="D16" i="1"/>
  <c r="C16" i="1"/>
  <c r="S15" i="1"/>
  <c r="O15" i="1"/>
  <c r="K15" i="1"/>
  <c r="G15" i="1"/>
  <c r="C15" i="1"/>
  <c r="O14" i="1"/>
  <c r="S14" i="1" s="1"/>
  <c r="K14" i="1"/>
  <c r="G14" i="1"/>
  <c r="C14" i="1"/>
  <c r="O13" i="1"/>
  <c r="S13" i="1" s="1"/>
  <c r="K13" i="1"/>
  <c r="G13" i="1"/>
  <c r="C13" i="1"/>
  <c r="R11" i="1"/>
  <c r="Q11" i="1"/>
  <c r="Q23" i="1" s="1"/>
  <c r="P11" i="1"/>
  <c r="P52" i="1" s="1"/>
  <c r="N11" i="1"/>
  <c r="N23" i="1" s="1"/>
  <c r="M11" i="1"/>
  <c r="M52" i="1" s="1"/>
  <c r="M53" i="1" s="1"/>
  <c r="L11" i="1"/>
  <c r="L52" i="1" s="1"/>
  <c r="K11" i="1"/>
  <c r="J11" i="1"/>
  <c r="I11" i="1"/>
  <c r="I23" i="1" s="1"/>
  <c r="H11" i="1"/>
  <c r="H52" i="1" s="1"/>
  <c r="F11" i="1"/>
  <c r="F23" i="1" s="1"/>
  <c r="E11" i="1"/>
  <c r="E52" i="1" s="1"/>
  <c r="D11" i="1"/>
  <c r="D52" i="1" s="1"/>
  <c r="C11" i="1"/>
  <c r="S10" i="1"/>
  <c r="O10" i="1"/>
  <c r="K10" i="1"/>
  <c r="G10" i="1"/>
  <c r="C10" i="1"/>
  <c r="O9" i="1"/>
  <c r="S9" i="1" s="1"/>
  <c r="K9" i="1"/>
  <c r="G9" i="1"/>
  <c r="C9" i="1"/>
  <c r="O8" i="1"/>
  <c r="S8" i="1" s="1"/>
  <c r="K8" i="1"/>
  <c r="G8" i="1"/>
  <c r="C8" i="1"/>
  <c r="O7" i="1"/>
  <c r="S7" i="1" s="1"/>
  <c r="K7" i="1"/>
  <c r="G7" i="1"/>
  <c r="C7" i="1"/>
  <c r="O6" i="1"/>
  <c r="K6" i="1"/>
  <c r="S6" i="1" s="1"/>
  <c r="G6" i="1"/>
  <c r="C6" i="1"/>
  <c r="R13" i="9" l="1"/>
  <c r="T13" i="9" s="1"/>
  <c r="U13" i="9" s="1"/>
  <c r="C21" i="8"/>
  <c r="S8" i="8"/>
  <c r="S21" i="8" s="1"/>
  <c r="S5" i="8"/>
  <c r="S9" i="8"/>
  <c r="S13" i="8"/>
  <c r="J21" i="7"/>
  <c r="V20" i="7"/>
  <c r="F21" i="7"/>
  <c r="V21" i="7" s="1"/>
  <c r="V10" i="7"/>
  <c r="V15" i="7"/>
  <c r="K21" i="7"/>
  <c r="S21" i="7"/>
  <c r="U6" i="6"/>
  <c r="U8" i="6"/>
  <c r="U12" i="6"/>
  <c r="J22" i="6"/>
  <c r="U10" i="6"/>
  <c r="U7" i="6"/>
  <c r="U9" i="6"/>
  <c r="B22" i="6"/>
  <c r="L22" i="6"/>
  <c r="M13" i="6"/>
  <c r="M22" i="6" s="1"/>
  <c r="U11" i="6"/>
  <c r="O22" i="6"/>
  <c r="E22" i="6"/>
  <c r="N22" i="6"/>
  <c r="F22" i="6"/>
  <c r="I13" i="6"/>
  <c r="I22" i="6" s="1"/>
  <c r="Q13" i="6"/>
  <c r="Q22" i="6" s="1"/>
  <c r="T15" i="5"/>
  <c r="R62" i="4"/>
  <c r="T62" i="4" s="1"/>
  <c r="U62" i="4" s="1"/>
  <c r="R56" i="4"/>
  <c r="T6" i="4"/>
  <c r="D92" i="3"/>
  <c r="B18" i="2"/>
  <c r="B20" i="2"/>
  <c r="B16" i="2"/>
  <c r="L32" i="2"/>
  <c r="T13" i="2"/>
  <c r="B6" i="2"/>
  <c r="X8" i="2"/>
  <c r="V8" i="2"/>
  <c r="X10" i="2"/>
  <c r="V10" i="2"/>
  <c r="X12" i="2"/>
  <c r="V12" i="2"/>
  <c r="B25" i="2"/>
  <c r="B27" i="2"/>
  <c r="B29" i="2"/>
  <c r="V9" i="2"/>
  <c r="U9" i="2" s="1"/>
  <c r="X9" i="2"/>
  <c r="T22" i="2"/>
  <c r="B15" i="2"/>
  <c r="B19" i="2"/>
  <c r="X7" i="2"/>
  <c r="W7" i="2"/>
  <c r="V7" i="2"/>
  <c r="U7" i="2"/>
  <c r="X11" i="2"/>
  <c r="W11" i="2"/>
  <c r="V11" i="2"/>
  <c r="U11" i="2"/>
  <c r="T31" i="2"/>
  <c r="B24" i="2"/>
  <c r="B26" i="2"/>
  <c r="B28" i="2"/>
  <c r="B30" i="2"/>
  <c r="P31" i="2"/>
  <c r="B17" i="2"/>
  <c r="B21" i="2"/>
  <c r="P22" i="2"/>
  <c r="P13" i="2"/>
  <c r="P32" i="2" s="1"/>
  <c r="H23" i="1"/>
  <c r="H51" i="1"/>
  <c r="K52" i="1"/>
  <c r="E53" i="1"/>
  <c r="G50" i="1"/>
  <c r="O52" i="1"/>
  <c r="S19" i="1"/>
  <c r="H53" i="1"/>
  <c r="O50" i="1"/>
  <c r="P23" i="1"/>
  <c r="O23" i="1" s="1"/>
  <c r="P51" i="1"/>
  <c r="O51" i="1" s="1"/>
  <c r="O22" i="1"/>
  <c r="R23" i="1"/>
  <c r="S31" i="1"/>
  <c r="S38" i="1"/>
  <c r="L23" i="1"/>
  <c r="E23" i="1"/>
  <c r="M23" i="1"/>
  <c r="I39" i="1"/>
  <c r="G39" i="1" s="1"/>
  <c r="Q39" i="1"/>
  <c r="O39" i="1" s="1"/>
  <c r="S39" i="1" s="1"/>
  <c r="I52" i="1"/>
  <c r="I53" i="1" s="1"/>
  <c r="Q52" i="1"/>
  <c r="Q53" i="1" s="1"/>
  <c r="N52" i="1"/>
  <c r="N53" i="1" s="1"/>
  <c r="D23" i="1"/>
  <c r="J52" i="1"/>
  <c r="R52" i="1"/>
  <c r="R53" i="1" s="1"/>
  <c r="D51" i="1"/>
  <c r="C51" i="1" s="1"/>
  <c r="L51" i="1"/>
  <c r="K51" i="1" s="1"/>
  <c r="F52" i="1"/>
  <c r="F53" i="1" s="1"/>
  <c r="O11" i="1"/>
  <c r="O16" i="1"/>
  <c r="S16" i="1" s="1"/>
  <c r="K44" i="1"/>
  <c r="S44" i="1" s="1"/>
  <c r="J22" i="1"/>
  <c r="J51" i="1" s="1"/>
  <c r="F50" i="1"/>
  <c r="C50" i="1" s="1"/>
  <c r="G11" i="1"/>
  <c r="U13" i="6" l="1"/>
  <c r="U22" i="6" s="1"/>
  <c r="T56" i="4"/>
  <c r="U56" i="4" s="1"/>
  <c r="U6" i="4"/>
  <c r="D94" i="3"/>
  <c r="T92" i="3"/>
  <c r="V30" i="2"/>
  <c r="U30" i="2" s="1"/>
  <c r="X30" i="2"/>
  <c r="W9" i="2"/>
  <c r="X25" i="2"/>
  <c r="V25" i="2"/>
  <c r="U25" i="2"/>
  <c r="U10" i="2"/>
  <c r="W10" i="2" s="1"/>
  <c r="U16" i="2"/>
  <c r="X16" i="2"/>
  <c r="V16" i="2"/>
  <c r="T32" i="2"/>
  <c r="X28" i="2"/>
  <c r="V28" i="2"/>
  <c r="U28" i="2"/>
  <c r="V19" i="2"/>
  <c r="U19" i="2"/>
  <c r="X19" i="2"/>
  <c r="U12" i="2"/>
  <c r="W12" i="2" s="1"/>
  <c r="U8" i="2"/>
  <c r="W8" i="2" s="1"/>
  <c r="V26" i="2"/>
  <c r="X26" i="2"/>
  <c r="X29" i="2"/>
  <c r="V29" i="2"/>
  <c r="U29" i="2" s="1"/>
  <c r="V20" i="2"/>
  <c r="X20" i="2"/>
  <c r="X21" i="2"/>
  <c r="U21" i="2"/>
  <c r="V21" i="2"/>
  <c r="V15" i="2"/>
  <c r="U15" i="2" s="1"/>
  <c r="X15" i="2"/>
  <c r="B22" i="2"/>
  <c r="X18" i="2"/>
  <c r="V18" i="2"/>
  <c r="U18" i="2"/>
  <c r="X17" i="2"/>
  <c r="V17" i="2"/>
  <c r="X24" i="2"/>
  <c r="V24" i="2"/>
  <c r="B31" i="2"/>
  <c r="V27" i="2"/>
  <c r="X27" i="2"/>
  <c r="U27" i="2"/>
  <c r="V6" i="2"/>
  <c r="V13" i="2" s="1"/>
  <c r="U6" i="2"/>
  <c r="U13" i="2" s="1"/>
  <c r="X6" i="2"/>
  <c r="X13" i="2" s="1"/>
  <c r="W6" i="2"/>
  <c r="B13" i="2"/>
  <c r="S51" i="1"/>
  <c r="L53" i="1"/>
  <c r="J53" i="1"/>
  <c r="S50" i="1"/>
  <c r="J23" i="1"/>
  <c r="G23" i="1" s="1"/>
  <c r="S23" i="1" s="1"/>
  <c r="C23" i="1"/>
  <c r="K23" i="1"/>
  <c r="G52" i="1"/>
  <c r="G51" i="1"/>
  <c r="G53" i="1"/>
  <c r="G22" i="1"/>
  <c r="S22" i="1" s="1"/>
  <c r="S11" i="1"/>
  <c r="C52" i="1"/>
  <c r="S52" i="1"/>
  <c r="P53" i="1"/>
  <c r="D53" i="1"/>
  <c r="W92" i="3" l="1"/>
  <c r="X92" i="3" s="1"/>
  <c r="T94" i="3"/>
  <c r="W94" i="3" s="1"/>
  <c r="X94" i="3" s="1"/>
  <c r="W13" i="2"/>
  <c r="V31" i="2"/>
  <c r="W20" i="2"/>
  <c r="W26" i="2"/>
  <c r="X31" i="2"/>
  <c r="U20" i="2"/>
  <c r="W16" i="2"/>
  <c r="W17" i="2"/>
  <c r="X22" i="2"/>
  <c r="X32" i="2" s="1"/>
  <c r="V22" i="2"/>
  <c r="V32" i="2" s="1"/>
  <c r="W15" i="2"/>
  <c r="W22" i="2" s="1"/>
  <c r="W30" i="2"/>
  <c r="U17" i="2"/>
  <c r="U22" i="2" s="1"/>
  <c r="U32" i="2" s="1"/>
  <c r="W21" i="2"/>
  <c r="W19" i="2"/>
  <c r="W29" i="2"/>
  <c r="W27" i="2"/>
  <c r="B32" i="2"/>
  <c r="U24" i="2"/>
  <c r="U31" i="2" s="1"/>
  <c r="W18" i="2"/>
  <c r="U26" i="2"/>
  <c r="W28" i="2"/>
  <c r="W25" i="2"/>
  <c r="C53" i="1"/>
  <c r="D55" i="1"/>
  <c r="E54" i="1" s="1"/>
  <c r="E55" i="1" s="1"/>
  <c r="F54" i="1" s="1"/>
  <c r="F55" i="1" s="1"/>
  <c r="K53" i="1"/>
  <c r="O53" i="1"/>
  <c r="S53" i="1" s="1"/>
  <c r="S55" i="1" s="1"/>
  <c r="W24" i="2" l="1"/>
  <c r="W31" i="2" s="1"/>
  <c r="W32" i="2"/>
  <c r="C55" i="1"/>
  <c r="H54" i="1"/>
  <c r="H55" i="1" s="1"/>
  <c r="I54" i="1" s="1"/>
  <c r="I55" i="1" s="1"/>
  <c r="J54" i="1" s="1"/>
  <c r="G54" i="1" l="1"/>
  <c r="J55" i="1"/>
  <c r="L54" i="1" l="1"/>
  <c r="L55" i="1" s="1"/>
  <c r="M54" i="1" s="1"/>
  <c r="M55" i="1" s="1"/>
  <c r="N54" i="1" s="1"/>
  <c r="G55" i="1"/>
  <c r="K54" i="1" l="1"/>
  <c r="N55" i="1"/>
  <c r="K55" i="1" l="1"/>
  <c r="P54" i="1"/>
  <c r="P55" i="1" s="1"/>
  <c r="Q54" i="1" s="1"/>
  <c r="Q55" i="1" s="1"/>
  <c r="R54" i="1" s="1"/>
  <c r="O54" i="1" l="1"/>
  <c r="R55" i="1"/>
  <c r="O55" i="1" s="1"/>
</calcChain>
</file>

<file path=xl/comments1.xml><?xml version="1.0" encoding="utf-8"?>
<comments xmlns="http://schemas.openxmlformats.org/spreadsheetml/2006/main">
  <authors>
    <author>唐荣军</author>
  </authors>
  <commentList>
    <comment ref="V6" authorId="0" shapeId="0">
      <text>
        <r>
          <rPr>
            <b/>
            <sz val="10"/>
            <rFont val="宋体"/>
            <family val="3"/>
            <charset val="134"/>
          </rPr>
          <t>唐荣军:</t>
        </r>
        <r>
          <rPr>
            <sz val="10"/>
            <rFont val="宋体"/>
            <family val="3"/>
            <charset val="134"/>
          </rPr>
          <t xml:space="preserve">
销售率:
(1年签约面积:平米+12年签约面积:平米)/可售面积:平米=100%</t>
        </r>
      </text>
    </comment>
  </commentList>
</comments>
</file>

<file path=xl/sharedStrings.xml><?xml version="1.0" encoding="utf-8"?>
<sst xmlns="http://schemas.openxmlformats.org/spreadsheetml/2006/main" count="548" uniqueCount="352">
  <si>
    <t>预   计  资  金  流  量   表</t>
  </si>
  <si>
    <t>编制单位：</t>
  </si>
  <si>
    <t>预算年度：</t>
  </si>
  <si>
    <t>制表人：</t>
  </si>
  <si>
    <t>项目</t>
  </si>
  <si>
    <t>内容</t>
  </si>
  <si>
    <r>
      <rPr>
        <sz val="10"/>
        <rFont val="微软雅黑"/>
        <family val="2"/>
        <charset val="134"/>
      </rPr>
      <t>1</t>
    </r>
    <r>
      <rPr>
        <sz val="10"/>
        <rFont val="微软雅黑"/>
        <family val="2"/>
        <charset val="134"/>
      </rPr>
      <t>季度</t>
    </r>
  </si>
  <si>
    <r>
      <rPr>
        <sz val="10"/>
        <rFont val="微软雅黑"/>
        <family val="2"/>
        <charset val="134"/>
      </rPr>
      <t>1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</si>
  <si>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2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</si>
  <si>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3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</si>
  <si>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2</t>
    </r>
    <r>
      <rPr>
        <sz val="10"/>
        <rFont val="微软雅黑"/>
        <family val="2"/>
        <charset val="134"/>
      </rPr>
      <t>季度</t>
    </r>
  </si>
  <si>
    <r>
      <rPr>
        <sz val="10"/>
        <rFont val="微软雅黑"/>
        <family val="2"/>
        <charset val="134"/>
      </rPr>
      <t>4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</si>
  <si>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5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</si>
  <si>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6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</si>
  <si>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3</t>
    </r>
    <r>
      <rPr>
        <sz val="10"/>
        <rFont val="微软雅黑"/>
        <family val="2"/>
        <charset val="134"/>
      </rPr>
      <t>季度</t>
    </r>
  </si>
  <si>
    <r>
      <rPr>
        <sz val="10"/>
        <rFont val="微软雅黑"/>
        <family val="2"/>
        <charset val="134"/>
      </rPr>
      <t>7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</si>
  <si>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8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</si>
  <si>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9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</si>
  <si>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4</t>
    </r>
    <r>
      <rPr>
        <sz val="10"/>
        <rFont val="微软雅黑"/>
        <family val="2"/>
        <charset val="134"/>
      </rPr>
      <t>季度</t>
    </r>
  </si>
  <si>
    <r>
      <rPr>
        <sz val="10"/>
        <rFont val="微软雅黑"/>
        <family val="2"/>
        <charset val="134"/>
      </rPr>
      <t>10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</si>
  <si>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11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</si>
  <si>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12</t>
    </r>
    <r>
      <rPr>
        <sz val="10"/>
        <rFont val="微软雅黑"/>
        <family val="2"/>
        <charset val="134"/>
      </rPr>
      <t>月</t>
    </r>
  </si>
  <si>
    <t>全年合计</t>
  </si>
  <si>
    <t>一、经营活动现金流量</t>
  </si>
  <si>
    <t>现金流入</t>
  </si>
  <si>
    <t>主营业务现金收入</t>
  </si>
  <si>
    <t>房屋开发收入</t>
  </si>
  <si>
    <t>其他业务现金收入</t>
  </si>
  <si>
    <t>收到的税费返还</t>
  </si>
  <si>
    <t>收到的其他与经营活动有关的现金</t>
  </si>
  <si>
    <t>经营活动产生现金流入小计</t>
  </si>
  <si>
    <t>现金流出</t>
  </si>
  <si>
    <t>１、主营业务成本现金支出</t>
  </si>
  <si>
    <t>其中：商品房开发成本支出</t>
  </si>
  <si>
    <t>２、其他业务支出现金支出</t>
  </si>
  <si>
    <t>（一）成本现金支出小计</t>
  </si>
  <si>
    <r>
      <rPr>
        <sz val="10"/>
        <rFont val="微软雅黑"/>
        <family val="2"/>
        <charset val="134"/>
      </rPr>
      <t>1</t>
    </r>
    <r>
      <rPr>
        <sz val="10"/>
        <rFont val="微软雅黑"/>
        <family val="2"/>
        <charset val="134"/>
      </rPr>
      <t>、管理费用现金支出</t>
    </r>
  </si>
  <si>
    <r>
      <rPr>
        <sz val="10"/>
        <rFont val="微软雅黑"/>
        <family val="2"/>
        <charset val="134"/>
      </rPr>
      <t>2</t>
    </r>
    <r>
      <rPr>
        <sz val="10"/>
        <rFont val="微软雅黑"/>
        <family val="2"/>
        <charset val="134"/>
      </rPr>
      <t>、销售费用现金支出</t>
    </r>
  </si>
  <si>
    <t>（二）期间费用支出小计</t>
  </si>
  <si>
    <t>（三）各项税费支出小计</t>
  </si>
  <si>
    <t>（四）支付的其他与经营活动有关的现金</t>
  </si>
  <si>
    <t>经营活动产生现金流出小计</t>
  </si>
  <si>
    <t>经营活动产生的现金流量净额</t>
  </si>
  <si>
    <t>二、投资活动现金流量</t>
  </si>
  <si>
    <t>收回投资本金所收到的现金</t>
  </si>
  <si>
    <t>取得投资收益所收到的现金</t>
  </si>
  <si>
    <t>处置非流动资产收到的现金净额</t>
  </si>
  <si>
    <t>处置子公司及其他营业单位收到的现金净额</t>
  </si>
  <si>
    <t>收到的其他与投资活动有关的现金</t>
  </si>
  <si>
    <t>（二）投资活动产生现金流入小计</t>
  </si>
  <si>
    <r>
      <rPr>
        <sz val="10"/>
        <rFont val="微软雅黑"/>
        <family val="2"/>
        <charset val="134"/>
      </rPr>
      <t>1</t>
    </r>
    <r>
      <rPr>
        <sz val="10"/>
        <rFont val="微软雅黑"/>
        <family val="2"/>
        <charset val="134"/>
      </rPr>
      <t>、购置非流动资产支出现金</t>
    </r>
  </si>
  <si>
    <r>
      <rPr>
        <sz val="10"/>
        <rFont val="微软雅黑"/>
        <family val="2"/>
        <charset val="134"/>
      </rPr>
      <t>2</t>
    </r>
    <r>
      <rPr>
        <sz val="10"/>
        <rFont val="微软雅黑"/>
        <family val="2"/>
        <charset val="134"/>
      </rPr>
      <t>、长期股权投资</t>
    </r>
  </si>
  <si>
    <r>
      <rPr>
        <sz val="10"/>
        <rFont val="微软雅黑"/>
        <family val="2"/>
        <charset val="134"/>
      </rPr>
      <t>3</t>
    </r>
    <r>
      <rPr>
        <sz val="10"/>
        <rFont val="微软雅黑"/>
        <family val="2"/>
        <charset val="134"/>
      </rPr>
      <t>、股票投资</t>
    </r>
  </si>
  <si>
    <t>3、债券投资</t>
  </si>
  <si>
    <r>
      <rPr>
        <sz val="10"/>
        <rFont val="微软雅黑"/>
        <family val="2"/>
        <charset val="134"/>
      </rPr>
      <t>4</t>
    </r>
    <r>
      <rPr>
        <sz val="10"/>
        <rFont val="微软雅黑"/>
        <family val="2"/>
        <charset val="134"/>
      </rPr>
      <t>、支付的其他与投资活动有关的现金</t>
    </r>
  </si>
  <si>
    <t>投资活动产生现金流出小计</t>
  </si>
  <si>
    <t>投资活动产生的现金流量净额</t>
  </si>
  <si>
    <t>三、筹资活动现金流量</t>
  </si>
  <si>
    <t>吸收投资所收到的现金</t>
  </si>
  <si>
    <t>借款收到的现金</t>
  </si>
  <si>
    <t>收到的其他与筹资活动有关的现金</t>
  </si>
  <si>
    <t>（三）筹资活动产生现金流入小计</t>
  </si>
  <si>
    <t>1、偿还债务所支付的现金</t>
  </si>
  <si>
    <r>
      <rPr>
        <sz val="10"/>
        <rFont val="微软雅黑"/>
        <family val="2"/>
        <charset val="134"/>
      </rPr>
      <t>3</t>
    </r>
    <r>
      <rPr>
        <sz val="10"/>
        <rFont val="微软雅黑"/>
        <family val="2"/>
        <charset val="134"/>
      </rPr>
      <t>、财务费用现金支出</t>
    </r>
  </si>
  <si>
    <r>
      <rPr>
        <sz val="10"/>
        <rFont val="微软雅黑"/>
        <family val="2"/>
        <charset val="134"/>
      </rPr>
      <t>2</t>
    </r>
    <r>
      <rPr>
        <sz val="10"/>
        <rFont val="微软雅黑"/>
        <family val="2"/>
        <charset val="134"/>
      </rPr>
      <t>、分配股利或利润付现</t>
    </r>
  </si>
  <si>
    <t>3、支付的其他与筹资活动有关的现金</t>
  </si>
  <si>
    <t>筹资活动产生现金流出小计</t>
  </si>
  <si>
    <t>筹资活动产生的现金流量净额</t>
  </si>
  <si>
    <t>现金流出合计</t>
  </si>
  <si>
    <t>现金流入合计</t>
  </si>
  <si>
    <t>三、现金净流量</t>
  </si>
  <si>
    <t>四、期初余额</t>
  </si>
  <si>
    <t>五、期末余额</t>
  </si>
  <si>
    <t>主营成本支出现金预算表</t>
  </si>
  <si>
    <t>项目名称</t>
  </si>
  <si>
    <t>项目预算总额</t>
  </si>
  <si>
    <t>上年余额</t>
  </si>
  <si>
    <t>本年预计现金流出量</t>
  </si>
  <si>
    <t>本年结转额</t>
  </si>
  <si>
    <t>本年余额</t>
  </si>
  <si>
    <t>应付帐款</t>
  </si>
  <si>
    <t>预算责任人</t>
  </si>
  <si>
    <t>１季度</t>
  </si>
  <si>
    <t>1月</t>
  </si>
  <si>
    <t>2月</t>
  </si>
  <si>
    <t>3月</t>
  </si>
  <si>
    <t>２季度</t>
  </si>
  <si>
    <t>4月</t>
  </si>
  <si>
    <t>5月</t>
  </si>
  <si>
    <t>6月</t>
  </si>
  <si>
    <t>３季度</t>
  </si>
  <si>
    <t>7月</t>
  </si>
  <si>
    <t>8月</t>
  </si>
  <si>
    <t>9月</t>
  </si>
  <si>
    <t>４季度</t>
  </si>
  <si>
    <t>10月</t>
  </si>
  <si>
    <t>11月</t>
  </si>
  <si>
    <t>12月</t>
  </si>
  <si>
    <t>合计</t>
  </si>
  <si>
    <t>转入完工产品</t>
  </si>
  <si>
    <t>转入销售成本</t>
  </si>
  <si>
    <t>一、项目1</t>
  </si>
  <si>
    <t>土地费</t>
  </si>
  <si>
    <t>前期工程费</t>
  </si>
  <si>
    <t>建安及装修工程费</t>
  </si>
  <si>
    <t>基础设施费</t>
  </si>
  <si>
    <t>配套设施费</t>
  </si>
  <si>
    <t>开发间接费</t>
  </si>
  <si>
    <t>预提结算成本</t>
  </si>
  <si>
    <t>小计</t>
  </si>
  <si>
    <t>二、项目2</t>
  </si>
  <si>
    <t>三、项目3</t>
  </si>
  <si>
    <t>合   计</t>
  </si>
  <si>
    <t xml:space="preserve">管理费用现金预算表      </t>
  </si>
  <si>
    <t>项    目</t>
  </si>
  <si>
    <t>计划时间</t>
  </si>
  <si>
    <t>上年</t>
  </si>
  <si>
    <t>全年</t>
  </si>
  <si>
    <t>本年未付</t>
  </si>
  <si>
    <t>上年实际</t>
  </si>
  <si>
    <t>增减数</t>
  </si>
  <si>
    <t>增减（％）</t>
  </si>
  <si>
    <t>现金支付项目</t>
  </si>
  <si>
    <t>薪酬费用</t>
  </si>
  <si>
    <t>工资</t>
  </si>
  <si>
    <t>奖金</t>
  </si>
  <si>
    <t>福利费</t>
  </si>
  <si>
    <t>伙食费</t>
  </si>
  <si>
    <t>收温费</t>
  </si>
  <si>
    <t>房租水电费</t>
  </si>
  <si>
    <t>体检费</t>
  </si>
  <si>
    <t>节日补贴</t>
  </si>
  <si>
    <t>个人补贴</t>
  </si>
  <si>
    <t>住房补贴</t>
  </si>
  <si>
    <t>交通补贴</t>
  </si>
  <si>
    <t>通讯补贴</t>
  </si>
  <si>
    <t>活动经费</t>
  </si>
  <si>
    <t>其他</t>
  </si>
  <si>
    <t>工会经费</t>
  </si>
  <si>
    <t>职工教育经费</t>
  </si>
  <si>
    <t>职工五险</t>
  </si>
  <si>
    <t>住房公积金</t>
  </si>
  <si>
    <t>企业年金</t>
  </si>
  <si>
    <t>商业保险</t>
  </si>
  <si>
    <t>辞退福利</t>
  </si>
  <si>
    <t>服装费</t>
  </si>
  <si>
    <t>午餐费</t>
  </si>
  <si>
    <t>旅游费</t>
  </si>
  <si>
    <t>电话费用</t>
  </si>
  <si>
    <t>办公水费</t>
  </si>
  <si>
    <t>办公电费</t>
  </si>
  <si>
    <t>办公用品</t>
  </si>
  <si>
    <t>差旅费</t>
  </si>
  <si>
    <t>车辆交通费用</t>
  </si>
  <si>
    <t>业务招待费</t>
  </si>
  <si>
    <t>劳动保护费</t>
  </si>
  <si>
    <t>书刊费用</t>
  </si>
  <si>
    <t>修理费</t>
  </si>
  <si>
    <t>财产保险费</t>
  </si>
  <si>
    <t>招聘费用</t>
  </si>
  <si>
    <t>管理税费</t>
  </si>
  <si>
    <t>印花税</t>
  </si>
  <si>
    <t>土地使用税</t>
  </si>
  <si>
    <t>房产税</t>
  </si>
  <si>
    <t>车船税</t>
  </si>
  <si>
    <t>契税</t>
  </si>
  <si>
    <t>中介费用</t>
  </si>
  <si>
    <t>审计费</t>
  </si>
  <si>
    <t>绿色费</t>
  </si>
  <si>
    <t>咨询费</t>
  </si>
  <si>
    <t>验资费</t>
  </si>
  <si>
    <t>评估费</t>
  </si>
  <si>
    <t>会员费</t>
  </si>
  <si>
    <t>环境费</t>
  </si>
  <si>
    <t>清洁费用</t>
  </si>
  <si>
    <t>绿化费用</t>
  </si>
  <si>
    <t>消杀费用</t>
  </si>
  <si>
    <t>节日布置</t>
  </si>
  <si>
    <t>物业管理费</t>
  </si>
  <si>
    <t>租金</t>
  </si>
  <si>
    <t>总部管理费</t>
  </si>
  <si>
    <t>会议费用</t>
  </si>
  <si>
    <t>董事会费</t>
  </si>
  <si>
    <t>党团活动费用</t>
  </si>
  <si>
    <t>品牌管理费</t>
  </si>
  <si>
    <t>捐赠费</t>
  </si>
  <si>
    <t>专项费用</t>
  </si>
  <si>
    <t>非现金支出项目</t>
  </si>
  <si>
    <t>固定资产折扣</t>
  </si>
  <si>
    <t>无形资产摊销</t>
  </si>
  <si>
    <t>递延资产摊销</t>
  </si>
  <si>
    <t>长期待摊费用摊销</t>
  </si>
  <si>
    <t>资产减值损失</t>
  </si>
  <si>
    <t>坏账损失</t>
  </si>
  <si>
    <t>存货跌价损失</t>
  </si>
  <si>
    <t>合同预计损失</t>
  </si>
  <si>
    <t>长期投资减值损失</t>
  </si>
  <si>
    <t>固定资产减值损失</t>
  </si>
  <si>
    <t>无形资产减值损失</t>
  </si>
  <si>
    <t>在建工程减值损失</t>
  </si>
  <si>
    <t>工程物资减值损失</t>
  </si>
  <si>
    <t>持有至到期投资减值损失</t>
  </si>
  <si>
    <t>商誉减值损失</t>
  </si>
  <si>
    <t>投资性房地产减值损失</t>
  </si>
  <si>
    <t>其他非现金支出项目</t>
  </si>
  <si>
    <t xml:space="preserve">    合      计</t>
  </si>
  <si>
    <t>编制说明：</t>
  </si>
  <si>
    <r>
      <rPr>
        <sz val="10"/>
        <rFont val="微软雅黑"/>
        <family val="2"/>
        <charset val="134"/>
      </rPr>
      <t>1</t>
    </r>
    <r>
      <rPr>
        <sz val="10"/>
        <rFont val="微软雅黑"/>
        <family val="2"/>
        <charset val="134"/>
      </rPr>
      <t>、费用项目应按“重大支出优先”原则列示，列入“其他”的支出不应超过总额的5％。</t>
    </r>
  </si>
  <si>
    <r>
      <rPr>
        <sz val="10"/>
        <rFont val="微软雅黑"/>
        <family val="2"/>
        <charset val="134"/>
      </rPr>
      <t>2</t>
    </r>
    <r>
      <rPr>
        <sz val="10"/>
        <rFont val="微软雅黑"/>
        <family val="2"/>
        <charset val="134"/>
      </rPr>
      <t>、录入“现金流量表”的数据按照本表的“现金支付项目”小计数填列。</t>
    </r>
  </si>
  <si>
    <t>3、低值易耗品摊销：假设当年发生，当年全额结转，如有金额较大支出，在资产负债表“存货”项目中列示，并在“附注”中说明。</t>
  </si>
  <si>
    <t xml:space="preserve"> 销售费用现金预算表</t>
  </si>
  <si>
    <t>全年预计现金流出量</t>
  </si>
  <si>
    <t>一季度</t>
  </si>
  <si>
    <t>二季度</t>
  </si>
  <si>
    <t>三季度</t>
  </si>
  <si>
    <t>四季度</t>
  </si>
  <si>
    <t>销售费用</t>
  </si>
  <si>
    <t>营销费用</t>
  </si>
  <si>
    <t>广告费</t>
  </si>
  <si>
    <t>报纸广告</t>
  </si>
  <si>
    <t>电视广告</t>
  </si>
  <si>
    <t>户外广告</t>
  </si>
  <si>
    <t>网络广告</t>
  </si>
  <si>
    <t>短信广告</t>
  </si>
  <si>
    <t>其他广告(道旗)</t>
  </si>
  <si>
    <t>活动推广费</t>
  </si>
  <si>
    <t>开盘活动费</t>
  </si>
  <si>
    <t>促销活动费</t>
  </si>
  <si>
    <t>展销会费</t>
  </si>
  <si>
    <t>入伙活动费</t>
  </si>
  <si>
    <t>其它活动推广费</t>
  </si>
  <si>
    <t>卖场包装费</t>
  </si>
  <si>
    <t>售楼处包装费　</t>
  </si>
  <si>
    <t>样板房包装费</t>
  </si>
  <si>
    <t>场景包装费</t>
  </si>
  <si>
    <t>道具购置费</t>
  </si>
  <si>
    <t>其它卖场包装费
（围墙及导视牌）</t>
  </si>
  <si>
    <t>销售管理费</t>
  </si>
  <si>
    <t>营销人员薪酬</t>
  </si>
  <si>
    <t>卖场物管费</t>
  </si>
  <si>
    <t>销售办公费</t>
  </si>
  <si>
    <t>销售电话费</t>
  </si>
  <si>
    <t>销售水电费</t>
  </si>
  <si>
    <t>销售业务费</t>
  </si>
  <si>
    <t>样板房费用（管理费）</t>
  </si>
  <si>
    <t>其它销售管理费</t>
  </si>
  <si>
    <t>车辆费</t>
  </si>
  <si>
    <t>其它配套设施费</t>
  </si>
  <si>
    <t>咨询代理费</t>
  </si>
  <si>
    <t>策划咨询费</t>
  </si>
  <si>
    <t>代理佣金</t>
  </si>
  <si>
    <t>其它咨询代理费(广告
公司费用)</t>
  </si>
  <si>
    <t>签约律师代理费</t>
  </si>
  <si>
    <t>其它营销费(固定分摊、
不可预见费用)</t>
  </si>
  <si>
    <t>售后服务费用</t>
  </si>
  <si>
    <t>售后维修费</t>
  </si>
  <si>
    <t>业主索赔损失</t>
  </si>
  <si>
    <t>其它售后服务费</t>
  </si>
  <si>
    <t>物业补偿费用</t>
  </si>
  <si>
    <t>空置物业管理费</t>
  </si>
  <si>
    <t>物业管理开支补贴</t>
  </si>
  <si>
    <t>物业专项补贴</t>
  </si>
  <si>
    <t>其它物业补偿费</t>
  </si>
  <si>
    <t>其他销售费用</t>
  </si>
  <si>
    <t>固定资产折旧</t>
  </si>
  <si>
    <t>月销售收入</t>
  </si>
  <si>
    <t>月营销费用（不含广告与代理费）占月销售收入比例</t>
  </si>
  <si>
    <t>月营销费用（含广告与代理费）占月销售收入比例</t>
  </si>
  <si>
    <t>1、费用项目应按“重大支出优先”原则列示，列入“其他”的支出不应超过总额的5％</t>
  </si>
  <si>
    <t>2、录入“现金流量表”的数据按照本表的“现金支付项目”小计数填列。</t>
  </si>
  <si>
    <t>3、对于售楼处、样板房的日常费用(保安、清洁、维修及相关物料应编制明细支持表格明确到具体的管理单位、测算物业人均成本等)</t>
  </si>
  <si>
    <t xml:space="preserve">各项税费支出现金预算表 </t>
  </si>
  <si>
    <t>税费名称</t>
  </si>
  <si>
    <t>计算依据</t>
  </si>
  <si>
    <t>税费率％</t>
  </si>
  <si>
    <t>本期预计现金流出额</t>
  </si>
  <si>
    <t>1季度</t>
  </si>
  <si>
    <t>2季度</t>
  </si>
  <si>
    <t>3季度</t>
  </si>
  <si>
    <t>4季度</t>
  </si>
  <si>
    <t>营业税</t>
  </si>
  <si>
    <t>销售额</t>
  </si>
  <si>
    <t>城建税</t>
  </si>
  <si>
    <t>营业税额</t>
  </si>
  <si>
    <t>教育费附加（中央）</t>
  </si>
  <si>
    <t>教育费附加（地方）</t>
  </si>
  <si>
    <t>堤围费</t>
  </si>
  <si>
    <t>预缴土地增值税</t>
  </si>
  <si>
    <t>清算土地增值税</t>
  </si>
  <si>
    <t>清算结果调整</t>
  </si>
  <si>
    <t>企业所得税</t>
  </si>
  <si>
    <t>房产税及土地使用税</t>
  </si>
  <si>
    <t>合  计</t>
  </si>
  <si>
    <t>注：不包括印花税、车辆管理费等应列入期间费用的项目。</t>
  </si>
  <si>
    <t>投资收回现金预算表</t>
  </si>
  <si>
    <t>项   目</t>
  </si>
  <si>
    <t>本年期初数</t>
  </si>
  <si>
    <t>本年预计追加投资额</t>
  </si>
  <si>
    <t>至本年末预计累计投资额</t>
  </si>
  <si>
    <t>全年预计现金流入量</t>
  </si>
  <si>
    <t>一、股票名称</t>
  </si>
  <si>
    <t>股票1</t>
  </si>
  <si>
    <t>本金收回</t>
  </si>
  <si>
    <t>投资收益</t>
  </si>
  <si>
    <t>股票2</t>
  </si>
  <si>
    <t>二、债权投资</t>
  </si>
  <si>
    <t>债券1</t>
  </si>
  <si>
    <t>债券2</t>
  </si>
  <si>
    <t>1、本年期初数：指投资项目预算年度期初余额</t>
  </si>
  <si>
    <t>2、本年预计追加投资额：指对以前年度投资项目本年追加投资额</t>
  </si>
  <si>
    <t>3、至本年末预计累计投资额：指至本年末对投资项目的累计投资额</t>
  </si>
  <si>
    <t>4、全年预计现金流入量：指按照投资项目预计收回本金和投资收益的现金数，分月份列示</t>
  </si>
  <si>
    <t>5、股票名称：指将闲置资金投资于股票二级市场的短期投资行为现金支出</t>
  </si>
  <si>
    <t>6、债权投资：指将闲置资金投资于债券市场的短期行为现金支出</t>
  </si>
  <si>
    <t>7、如果资产变现时发生亏损，投资收益则以“－”填列；“本金收回”根据资产变现比例填列</t>
  </si>
  <si>
    <t xml:space="preserve">  购置非流动资产支出现金预算表</t>
  </si>
  <si>
    <t>名称</t>
  </si>
  <si>
    <t>规格</t>
  </si>
  <si>
    <t>数量</t>
  </si>
  <si>
    <t>单价</t>
  </si>
  <si>
    <t>总价</t>
  </si>
  <si>
    <t>年度合计</t>
  </si>
  <si>
    <t>固定资产：</t>
  </si>
  <si>
    <t>电脑</t>
  </si>
  <si>
    <t>无形资产</t>
  </si>
  <si>
    <t>其他长期资产</t>
  </si>
  <si>
    <t>合     计</t>
  </si>
  <si>
    <t>注：包括固定资产购置、无形资产和增加其他长期资产等。</t>
  </si>
  <si>
    <t xml:space="preserve">         投资支出现金预算表       </t>
  </si>
  <si>
    <t>本期预计追加投资现金流出额</t>
  </si>
  <si>
    <t>一、长期股权投资</t>
  </si>
  <si>
    <t>小 计</t>
  </si>
  <si>
    <t>二、股票投资</t>
  </si>
  <si>
    <t>三、债券投资</t>
  </si>
  <si>
    <t>小  计</t>
  </si>
  <si>
    <t>四、支付的其他与投资活动有关的现金</t>
  </si>
  <si>
    <t>2、本期预计追加投资现金流出额：指按照投资项目预计追加的本金现金流出数</t>
  </si>
  <si>
    <t>3、长期股权投资：指作为参股或控股股东直接投资到企业的现金支出</t>
  </si>
  <si>
    <t>4、股票投资：指将闲置资金投资于股票二级市场现金支出</t>
  </si>
  <si>
    <t>5、债权投资：指将闲置资金投资于债券市场的短期行为现金支出</t>
  </si>
  <si>
    <t>财务费用</t>
  </si>
  <si>
    <t>本年合计</t>
  </si>
  <si>
    <t>增减（%）</t>
  </si>
  <si>
    <t>利息支出</t>
  </si>
  <si>
    <t>其中：期间损益</t>
  </si>
  <si>
    <t xml:space="preserve">      往来</t>
  </si>
  <si>
    <t xml:space="preserve">      资本化利息</t>
  </si>
  <si>
    <t>存款利息收入</t>
  </si>
  <si>
    <t>汇兑损失（收益）</t>
  </si>
  <si>
    <t>金融机构手续费</t>
  </si>
  <si>
    <t>注：1、利息收入以“-”号表示。</t>
  </si>
  <si>
    <t xml:space="preserve">       2、财务费用支出：不含进入开发成本的资本化利息。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</si>
</sst>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 * #,##0.00_ ;_ * \-#,##0.00_ ;_ * &quot;-&quot;??_ ;_ @_ "/>
    <numFmt numFmtId="176" formatCode="0_ "/>
    <numFmt numFmtId="177" formatCode="#,##0.00_ "/>
    <numFmt numFmtId="178" formatCode="_ * #,##0_ ;_ * \-#,##0_ ;_ * &quot;-&quot;??_ ;_ @_ "/>
    <numFmt numFmtId="179" formatCode="0_);[Red]\(0\)"/>
    <numFmt numFmtId="180" formatCode="0.00_ "/>
    <numFmt numFmtId="181" formatCode="yyyy&quot;年&quot;m&quot;月&quot;;@"/>
    <numFmt numFmtId="182" formatCode="m&quot;月&quot;"/>
    <numFmt numFmtId="183" formatCode="0.0%"/>
    <numFmt numFmtId="184" formatCode="#,##0.00\ "/>
  </numFmts>
  <fonts count="18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8"/>
      <name val="微软雅黑"/>
      <family val="2"/>
      <charset val="134"/>
    </font>
    <font>
      <sz val="9"/>
      <name val="宋体"/>
      <family val="2"/>
      <charset val="134"/>
      <scheme val="minor"/>
    </font>
    <font>
      <sz val="10"/>
      <name val="微软雅黑"/>
      <family val="2"/>
      <charset val="134"/>
    </font>
    <font>
      <b/>
      <sz val="10"/>
      <name val="微软雅黑"/>
      <family val="2"/>
      <charset val="134"/>
    </font>
    <font>
      <u/>
      <sz val="12"/>
      <color indexed="12"/>
      <name val="宋体"/>
      <family val="3"/>
      <charset val="134"/>
    </font>
    <font>
      <u/>
      <sz val="10"/>
      <color indexed="12"/>
      <name val="微软雅黑"/>
      <family val="2"/>
      <charset val="134"/>
    </font>
    <font>
      <sz val="12"/>
      <name val="宋体"/>
      <family val="3"/>
      <charset val="134"/>
    </font>
    <font>
      <i/>
      <sz val="10"/>
      <name val="微软雅黑"/>
      <family val="2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微软雅黑"/>
      <family val="2"/>
      <charset val="134"/>
    </font>
    <font>
      <sz val="12"/>
      <name val="Times New Roman"/>
      <family val="1"/>
    </font>
    <font>
      <b/>
      <sz val="10"/>
      <color indexed="8"/>
      <name val="微软雅黑"/>
      <family val="2"/>
      <charset val="134"/>
    </font>
    <font>
      <sz val="18"/>
      <name val="宋体"/>
      <family val="3"/>
      <charset val="134"/>
    </font>
    <font>
      <b/>
      <sz val="12"/>
      <name val="宋体"/>
      <family val="3"/>
      <charset val="134"/>
    </font>
    <font>
      <sz val="1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2">
    <border>
      <left/>
      <right/>
      <top/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double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uble">
        <color auto="1"/>
      </bottom>
      <diagonal/>
    </border>
    <border>
      <left style="dotted">
        <color auto="1"/>
      </left>
      <right/>
      <top style="dotted">
        <color auto="1"/>
      </top>
      <bottom style="double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uble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uble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/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double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uble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/>
      <right style="dotted">
        <color auto="1"/>
      </right>
      <top style="medium">
        <color auto="1"/>
      </top>
      <bottom style="double">
        <color auto="1"/>
      </bottom>
      <diagonal/>
    </border>
    <border>
      <left style="dotted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thin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dotted">
        <color auto="1"/>
      </right>
      <top/>
      <bottom/>
      <diagonal/>
    </border>
    <border>
      <left style="medium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/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medium">
        <color auto="1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 style="thin">
        <color auto="1"/>
      </left>
      <right style="dotted">
        <color auto="1"/>
      </right>
      <top/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thin">
        <color auto="1"/>
      </right>
      <top/>
      <bottom style="medium">
        <color auto="1"/>
      </bottom>
      <diagonal/>
    </border>
    <border>
      <left style="dotted">
        <color auto="1"/>
      </left>
      <right/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</borders>
  <cellStyleXfs count="8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13" fillId="0" borderId="0"/>
  </cellStyleXfs>
  <cellXfs count="512">
    <xf numFmtId="0" fontId="0" fillId="0" borderId="0" xfId="0">
      <alignment vertical="center"/>
    </xf>
    <xf numFmtId="176" fontId="4" fillId="0" borderId="0" xfId="0" applyNumberFormat="1" applyFont="1" applyFill="1" applyAlignment="1">
      <alignment vertical="center"/>
    </xf>
    <xf numFmtId="176" fontId="0" fillId="0" borderId="0" xfId="0" applyNumberFormat="1" applyFont="1" applyFill="1" applyAlignment="1">
      <alignment vertical="center"/>
    </xf>
    <xf numFmtId="176" fontId="0" fillId="0" borderId="0" xfId="0" applyNumberFormat="1" applyFont="1" applyFill="1" applyBorder="1" applyAlignment="1">
      <alignment horizontal="center" vertical="center"/>
    </xf>
    <xf numFmtId="3" fontId="0" fillId="0" borderId="0" xfId="0" applyNumberFormat="1" applyFont="1" applyFill="1" applyBorder="1" applyAlignment="1">
      <alignment horizontal="center" vertical="center"/>
    </xf>
    <xf numFmtId="3" fontId="0" fillId="0" borderId="0" xfId="0" applyNumberFormat="1" applyFont="1" applyFill="1" applyAlignment="1">
      <alignment vertical="center"/>
    </xf>
    <xf numFmtId="4" fontId="0" fillId="0" borderId="0" xfId="0" applyNumberFormat="1" applyFont="1" applyFill="1" applyAlignment="1">
      <alignment vertical="center"/>
    </xf>
    <xf numFmtId="3" fontId="0" fillId="0" borderId="0" xfId="0" applyNumberFormat="1" applyFont="1" applyFill="1" applyAlignment="1">
      <alignment horizontal="right" vertical="center"/>
    </xf>
    <xf numFmtId="176" fontId="4" fillId="0" borderId="1" xfId="0" applyNumberFormat="1" applyFont="1" applyBorder="1" applyAlignment="1">
      <alignment horizontal="centerContinuous" vertical="center"/>
    </xf>
    <xf numFmtId="176" fontId="4" fillId="0" borderId="2" xfId="0" applyNumberFormat="1" applyFont="1" applyBorder="1" applyAlignment="1">
      <alignment horizontal="center" vertical="center"/>
    </xf>
    <xf numFmtId="3" fontId="4" fillId="0" borderId="2" xfId="0" applyNumberFormat="1" applyFont="1" applyBorder="1" applyAlignment="1">
      <alignment horizontal="center" vertical="center"/>
    </xf>
    <xf numFmtId="4" fontId="4" fillId="0" borderId="2" xfId="0" applyNumberFormat="1" applyFont="1" applyBorder="1" applyAlignment="1">
      <alignment horizontal="center" vertical="center"/>
    </xf>
    <xf numFmtId="3" fontId="4" fillId="0" borderId="3" xfId="0" applyNumberFormat="1" applyFont="1" applyBorder="1" applyAlignment="1">
      <alignment horizontal="center" vertical="center"/>
    </xf>
    <xf numFmtId="176" fontId="5" fillId="0" borderId="4" xfId="0" applyNumberFormat="1" applyFont="1" applyFill="1" applyBorder="1" applyAlignment="1">
      <alignment horizontal="left" vertical="center"/>
    </xf>
    <xf numFmtId="176" fontId="4" fillId="0" borderId="5" xfId="0" applyNumberFormat="1" applyFont="1" applyFill="1" applyBorder="1" applyAlignment="1">
      <alignment horizontal="left" vertical="center"/>
    </xf>
    <xf numFmtId="177" fontId="4" fillId="0" borderId="5" xfId="0" applyNumberFormat="1" applyFont="1" applyFill="1" applyBorder="1" applyAlignment="1">
      <alignment horizontal="right" vertical="center"/>
    </xf>
    <xf numFmtId="177" fontId="4" fillId="0" borderId="6" xfId="0" applyNumberFormat="1" applyFont="1" applyFill="1" applyBorder="1" applyAlignment="1">
      <alignment horizontal="right" vertical="center"/>
    </xf>
    <xf numFmtId="176" fontId="4" fillId="0" borderId="4" xfId="0" applyNumberFormat="1" applyFont="1" applyFill="1" applyBorder="1" applyAlignment="1">
      <alignment horizontal="left" vertical="center"/>
    </xf>
    <xf numFmtId="177" fontId="4" fillId="0" borderId="5" xfId="0" applyNumberFormat="1" applyFont="1" applyFill="1" applyBorder="1" applyAlignment="1">
      <alignment horizontal="right" vertical="center" shrinkToFit="1"/>
    </xf>
    <xf numFmtId="177" fontId="4" fillId="0" borderId="5" xfId="0" applyNumberFormat="1" applyFont="1" applyFill="1" applyBorder="1" applyAlignment="1">
      <alignment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0" fontId="7" fillId="0" borderId="5" xfId="3" applyFont="1" applyFill="1" applyBorder="1" applyAlignment="1" applyProtection="1">
      <alignment horizontal="left" vertical="center"/>
    </xf>
    <xf numFmtId="177" fontId="4" fillId="0" borderId="6" xfId="0" applyNumberFormat="1" applyFont="1" applyFill="1" applyBorder="1" applyAlignment="1">
      <alignment horizontal="right" vertical="center" shrinkToFit="1"/>
    </xf>
    <xf numFmtId="176" fontId="7" fillId="0" borderId="5" xfId="3" applyNumberFormat="1" applyFont="1" applyFill="1" applyBorder="1" applyAlignment="1" applyProtection="1">
      <alignment horizontal="left" vertical="center"/>
    </xf>
    <xf numFmtId="176" fontId="4" fillId="2" borderId="4" xfId="0" applyNumberFormat="1" applyFont="1" applyFill="1" applyBorder="1" applyAlignment="1">
      <alignment horizontal="left" vertical="center"/>
    </xf>
    <xf numFmtId="176" fontId="4" fillId="2" borderId="5" xfId="0" applyNumberFormat="1" applyFont="1" applyFill="1" applyBorder="1" applyAlignment="1">
      <alignment horizontal="left" vertical="center"/>
    </xf>
    <xf numFmtId="177" fontId="4" fillId="2" borderId="5" xfId="0" applyNumberFormat="1" applyFont="1" applyFill="1" applyBorder="1" applyAlignment="1">
      <alignment horizontal="right" vertical="center" shrinkToFit="1"/>
    </xf>
    <xf numFmtId="177" fontId="4" fillId="2" borderId="6" xfId="0" applyNumberFormat="1" applyFont="1" applyFill="1" applyBorder="1" applyAlignment="1">
      <alignment horizontal="right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0" borderId="4" xfId="0" applyNumberFormat="1" applyFont="1" applyFill="1" applyBorder="1" applyAlignment="1">
      <alignment vertical="center"/>
    </xf>
    <xf numFmtId="0" fontId="7" fillId="0" borderId="5" xfId="3" applyFont="1" applyFill="1" applyBorder="1" applyAlignment="1" applyProtection="1">
      <alignment vertical="center"/>
    </xf>
    <xf numFmtId="176" fontId="7" fillId="0" borderId="5" xfId="3" applyNumberFormat="1" applyFont="1" applyFill="1" applyBorder="1" applyAlignment="1" applyProtection="1">
      <alignment horizontal="left" vertical="center" wrapText="1"/>
    </xf>
    <xf numFmtId="176" fontId="7" fillId="2" borderId="5" xfId="3" applyNumberFormat="1" applyFont="1" applyFill="1" applyBorder="1" applyAlignment="1" applyProtection="1">
      <alignment horizontal="left" vertical="center"/>
    </xf>
    <xf numFmtId="176" fontId="4" fillId="2" borderId="4" xfId="0" applyNumberFormat="1" applyFont="1" applyFill="1" applyBorder="1" applyAlignment="1">
      <alignment horizontal="center" vertical="center"/>
    </xf>
    <xf numFmtId="176" fontId="4" fillId="0" borderId="4" xfId="0" applyNumberFormat="1" applyFont="1" applyFill="1" applyBorder="1" applyAlignment="1">
      <alignment horizontal="center" vertical="center"/>
    </xf>
    <xf numFmtId="0" fontId="4" fillId="0" borderId="4" xfId="0" applyFont="1" applyFill="1" applyBorder="1" applyAlignment="1">
      <alignment vertical="center" wrapText="1"/>
    </xf>
    <xf numFmtId="176" fontId="4" fillId="0" borderId="4" xfId="0" applyNumberFormat="1" applyFont="1" applyFill="1" applyBorder="1" applyAlignment="1">
      <alignment vertical="center" wrapText="1"/>
    </xf>
    <xf numFmtId="176" fontId="7" fillId="0" borderId="5" xfId="3" applyNumberFormat="1" applyFont="1" applyFill="1" applyBorder="1" applyAlignment="1" applyProtection="1">
      <alignment horizontal="left" vertical="center" wrapText="1" shrinkToFit="1"/>
    </xf>
    <xf numFmtId="176" fontId="4" fillId="2" borderId="4" xfId="0" applyNumberFormat="1" applyFont="1" applyFill="1" applyBorder="1" applyAlignment="1">
      <alignment horizontal="centerContinuous" vertical="center"/>
    </xf>
    <xf numFmtId="176" fontId="5" fillId="0" borderId="4" xfId="0" applyNumberFormat="1" applyFont="1" applyFill="1" applyBorder="1" applyAlignment="1">
      <alignment vertical="center"/>
    </xf>
    <xf numFmtId="176" fontId="5" fillId="0" borderId="7" xfId="0" applyNumberFormat="1" applyFont="1" applyFill="1" applyBorder="1" applyAlignment="1">
      <alignment vertical="center"/>
    </xf>
    <xf numFmtId="176" fontId="4" fillId="0" borderId="8" xfId="0" applyNumberFormat="1" applyFont="1" applyFill="1" applyBorder="1" applyAlignment="1">
      <alignment horizontal="left" vertical="center"/>
    </xf>
    <xf numFmtId="177" fontId="4" fillId="0" borderId="8" xfId="0" applyNumberFormat="1" applyFont="1" applyFill="1" applyBorder="1" applyAlignment="1">
      <alignment horizontal="right" vertical="center" shrinkToFit="1"/>
    </xf>
    <xf numFmtId="177" fontId="4" fillId="0" borderId="9" xfId="0" applyNumberFormat="1" applyFont="1" applyFill="1" applyBorder="1" applyAlignment="1">
      <alignment horizontal="right" vertical="center" shrinkToFit="1"/>
    </xf>
    <xf numFmtId="0" fontId="4" fillId="0" borderId="0" xfId="0" applyFont="1" applyAlignment="1">
      <alignment vertical="center"/>
    </xf>
    <xf numFmtId="178" fontId="4" fillId="2" borderId="20" xfId="1" applyNumberFormat="1" applyFont="1" applyFill="1" applyBorder="1" applyAlignment="1">
      <alignment horizontal="center" vertical="center" wrapText="1"/>
    </xf>
    <xf numFmtId="179" fontId="4" fillId="2" borderId="21" xfId="0" applyNumberFormat="1" applyFont="1" applyFill="1" applyBorder="1" applyAlignment="1">
      <alignment horizontal="center" vertical="center" wrapText="1"/>
    </xf>
    <xf numFmtId="179" fontId="4" fillId="2" borderId="22" xfId="0" applyNumberFormat="1" applyFont="1" applyFill="1" applyBorder="1" applyAlignment="1">
      <alignment horizontal="center" vertical="center" wrapText="1"/>
    </xf>
    <xf numFmtId="178" fontId="4" fillId="2" borderId="23" xfId="1" applyNumberFormat="1" applyFont="1" applyFill="1" applyBorder="1" applyAlignment="1">
      <alignment horizontal="center" vertical="center" wrapText="1"/>
    </xf>
    <xf numFmtId="179" fontId="4" fillId="2" borderId="24" xfId="0" applyNumberFormat="1" applyFont="1" applyFill="1" applyBorder="1" applyAlignment="1">
      <alignment horizontal="center" vertical="center" wrapText="1"/>
    </xf>
    <xf numFmtId="180" fontId="4" fillId="2" borderId="21" xfId="0" applyNumberFormat="1" applyFont="1" applyFill="1" applyBorder="1" applyAlignment="1">
      <alignment horizontal="center" vertical="center" wrapText="1"/>
    </xf>
    <xf numFmtId="180" fontId="4" fillId="2" borderId="24" xfId="0" applyNumberFormat="1" applyFont="1" applyFill="1" applyBorder="1" applyAlignment="1">
      <alignment horizontal="center" vertical="center" wrapText="1"/>
    </xf>
    <xf numFmtId="178" fontId="4" fillId="2" borderId="25" xfId="1" applyNumberFormat="1" applyFont="1" applyFill="1" applyBorder="1" applyAlignment="1">
      <alignment horizontal="center" vertical="center" wrapText="1"/>
    </xf>
    <xf numFmtId="176" fontId="4" fillId="2" borderId="26" xfId="0" applyNumberFormat="1" applyFont="1" applyFill="1" applyBorder="1" applyAlignment="1">
      <alignment horizontal="center" vertical="center" wrapText="1"/>
    </xf>
    <xf numFmtId="176" fontId="4" fillId="2" borderId="27" xfId="0" applyNumberFormat="1" applyFont="1" applyFill="1" applyBorder="1" applyAlignment="1">
      <alignment horizontal="center" vertical="center" wrapText="1"/>
    </xf>
    <xf numFmtId="176" fontId="5" fillId="0" borderId="29" xfId="0" applyNumberFormat="1" applyFont="1" applyFill="1" applyBorder="1" applyAlignment="1">
      <alignment horizontal="left" vertical="center" wrapText="1"/>
    </xf>
    <xf numFmtId="177" fontId="4" fillId="0" borderId="30" xfId="0" applyNumberFormat="1" applyFont="1" applyFill="1" applyBorder="1" applyAlignment="1">
      <alignment horizontal="right" vertical="center" wrapText="1"/>
    </xf>
    <xf numFmtId="177" fontId="4" fillId="0" borderId="31" xfId="0" applyNumberFormat="1" applyFont="1" applyFill="1" applyBorder="1" applyAlignment="1">
      <alignment horizontal="right" vertical="center" wrapText="1"/>
    </xf>
    <xf numFmtId="177" fontId="4" fillId="0" borderId="31" xfId="1" applyNumberFormat="1" applyFont="1" applyFill="1" applyBorder="1" applyAlignment="1">
      <alignment horizontal="right" vertical="center" wrapText="1"/>
    </xf>
    <xf numFmtId="177" fontId="4" fillId="0" borderId="32" xfId="0" applyNumberFormat="1" applyFont="1" applyFill="1" applyBorder="1" applyAlignment="1">
      <alignment vertical="center"/>
    </xf>
    <xf numFmtId="177" fontId="4" fillId="0" borderId="32" xfId="1" applyNumberFormat="1" applyFont="1" applyFill="1" applyBorder="1" applyAlignment="1">
      <alignment vertical="center"/>
    </xf>
    <xf numFmtId="177" fontId="4" fillId="0" borderId="33" xfId="0" applyNumberFormat="1" applyFont="1" applyFill="1" applyBorder="1" applyAlignment="1">
      <alignment vertical="center"/>
    </xf>
    <xf numFmtId="49" fontId="4" fillId="0" borderId="34" xfId="3" applyNumberFormat="1" applyFont="1" applyFill="1" applyBorder="1" applyAlignment="1" applyProtection="1">
      <alignment horizontal="left" vertical="center" wrapText="1" indent="1"/>
    </xf>
    <xf numFmtId="177" fontId="4" fillId="0" borderId="35" xfId="0" applyNumberFormat="1" applyFont="1" applyFill="1" applyBorder="1" applyAlignment="1">
      <alignment horizontal="right" vertical="center" wrapText="1"/>
    </xf>
    <xf numFmtId="177" fontId="4" fillId="0" borderId="5" xfId="0" applyNumberFormat="1" applyFont="1" applyFill="1" applyBorder="1" applyAlignment="1">
      <alignment horizontal="right" vertical="center" wrapText="1"/>
    </xf>
    <xf numFmtId="177" fontId="4" fillId="0" borderId="5" xfId="1" applyNumberFormat="1" applyFont="1" applyFill="1" applyBorder="1" applyAlignment="1">
      <alignment horizontal="right" vertical="center"/>
    </xf>
    <xf numFmtId="177" fontId="4" fillId="0" borderId="5" xfId="0" applyNumberFormat="1" applyFont="1" applyFill="1" applyBorder="1" applyAlignment="1">
      <alignment vertical="center"/>
    </xf>
    <xf numFmtId="177" fontId="4" fillId="0" borderId="6" xfId="0" applyNumberFormat="1" applyFont="1" applyFill="1" applyBorder="1" applyAlignment="1">
      <alignment vertical="center"/>
    </xf>
    <xf numFmtId="49" fontId="4" fillId="0" borderId="34" xfId="0" applyNumberFormat="1" applyFont="1" applyFill="1" applyBorder="1" applyAlignment="1">
      <alignment horizontal="left" vertical="center" indent="1"/>
    </xf>
    <xf numFmtId="0" fontId="4" fillId="0" borderId="34" xfId="0" applyFont="1" applyFill="1" applyBorder="1" applyAlignment="1">
      <alignment horizontal="left" vertical="center" indent="1"/>
    </xf>
    <xf numFmtId="0" fontId="4" fillId="0" borderId="34" xfId="0" applyFont="1" applyFill="1" applyBorder="1" applyAlignment="1" applyProtection="1">
      <alignment horizontal="left" vertical="center" wrapText="1" indent="1"/>
      <protection locked="0"/>
    </xf>
    <xf numFmtId="0" fontId="4" fillId="0" borderId="34" xfId="3" applyFont="1" applyFill="1" applyBorder="1" applyAlignment="1" applyProtection="1">
      <alignment horizontal="left" vertical="center" indent="1"/>
    </xf>
    <xf numFmtId="0" fontId="4" fillId="0" borderId="36" xfId="0" applyFont="1" applyFill="1" applyBorder="1" applyAlignment="1">
      <alignment horizontal="left" vertical="center" indent="1"/>
    </xf>
    <xf numFmtId="176" fontId="9" fillId="2" borderId="37" xfId="0" applyNumberFormat="1" applyFont="1" applyFill="1" applyBorder="1" applyAlignment="1">
      <alignment horizontal="center" vertical="center" wrapText="1"/>
    </xf>
    <xf numFmtId="177" fontId="4" fillId="2" borderId="38" xfId="0" applyNumberFormat="1" applyFont="1" applyFill="1" applyBorder="1" applyAlignment="1">
      <alignment horizontal="right" vertical="center" wrapText="1"/>
    </xf>
    <xf numFmtId="177" fontId="4" fillId="2" borderId="39" xfId="0" applyNumberFormat="1" applyFont="1" applyFill="1" applyBorder="1" applyAlignment="1">
      <alignment horizontal="right" vertical="center" wrapText="1"/>
    </xf>
    <xf numFmtId="177" fontId="4" fillId="2" borderId="39" xfId="1" applyNumberFormat="1" applyFont="1" applyFill="1" applyBorder="1" applyAlignment="1">
      <alignment horizontal="right" vertical="center" wrapText="1"/>
    </xf>
    <xf numFmtId="177" fontId="4" fillId="2" borderId="39" xfId="0" applyNumberFormat="1" applyFont="1" applyFill="1" applyBorder="1" applyAlignment="1">
      <alignment vertical="center"/>
    </xf>
    <xf numFmtId="177" fontId="4" fillId="2" borderId="40" xfId="0" applyNumberFormat="1" applyFont="1" applyFill="1" applyBorder="1" applyAlignment="1">
      <alignment vertical="center"/>
    </xf>
    <xf numFmtId="177" fontId="4" fillId="0" borderId="31" xfId="0" applyNumberFormat="1" applyFont="1" applyFill="1" applyBorder="1" applyAlignment="1">
      <alignment horizontal="right" vertical="center"/>
    </xf>
    <xf numFmtId="177" fontId="4" fillId="0" borderId="31" xfId="1" applyNumberFormat="1" applyFont="1" applyFill="1" applyBorder="1" applyAlignment="1">
      <alignment horizontal="right" vertical="center"/>
    </xf>
    <xf numFmtId="177" fontId="4" fillId="0" borderId="31" xfId="0" applyNumberFormat="1" applyFont="1" applyFill="1" applyBorder="1" applyAlignment="1">
      <alignment vertical="center"/>
    </xf>
    <xf numFmtId="177" fontId="4" fillId="0" borderId="41" xfId="0" applyNumberFormat="1" applyFont="1" applyFill="1" applyBorder="1" applyAlignment="1">
      <alignment vertical="center"/>
    </xf>
    <xf numFmtId="49" fontId="4" fillId="0" borderId="34" xfId="0" applyNumberFormat="1" applyFont="1" applyFill="1" applyBorder="1" applyAlignment="1">
      <alignment horizontal="left" vertical="center" wrapText="1" indent="1"/>
    </xf>
    <xf numFmtId="177" fontId="4" fillId="2" borderId="39" xfId="1" applyNumberFormat="1" applyFont="1" applyFill="1" applyBorder="1" applyAlignment="1">
      <alignment horizontal="right" vertical="center"/>
    </xf>
    <xf numFmtId="177" fontId="4" fillId="2" borderId="39" xfId="0" applyNumberFormat="1" applyFont="1" applyFill="1" applyBorder="1" applyAlignment="1">
      <alignment horizontal="right" vertical="center"/>
    </xf>
    <xf numFmtId="177" fontId="4" fillId="2" borderId="35" xfId="0" applyNumberFormat="1" applyFont="1" applyFill="1" applyBorder="1" applyAlignment="1">
      <alignment horizontal="right" vertical="center" wrapText="1"/>
    </xf>
    <xf numFmtId="177" fontId="4" fillId="2" borderId="5" xfId="0" applyNumberFormat="1" applyFont="1" applyFill="1" applyBorder="1" applyAlignment="1">
      <alignment horizontal="right" vertical="center" wrapText="1"/>
    </xf>
    <xf numFmtId="177" fontId="4" fillId="2" borderId="5" xfId="1" applyNumberFormat="1" applyFont="1" applyFill="1" applyBorder="1" applyAlignment="1">
      <alignment horizontal="right" vertical="center" wrapText="1"/>
    </xf>
    <xf numFmtId="177" fontId="4" fillId="2" borderId="5" xfId="1" applyNumberFormat="1" applyFont="1" applyFill="1" applyBorder="1" applyAlignment="1">
      <alignment horizontal="right" vertical="center"/>
    </xf>
    <xf numFmtId="177" fontId="4" fillId="2" borderId="5" xfId="0" applyNumberFormat="1" applyFont="1" applyFill="1" applyBorder="1" applyAlignment="1">
      <alignment horizontal="right" vertical="center"/>
    </xf>
    <xf numFmtId="177" fontId="4" fillId="2" borderId="5" xfId="0" applyNumberFormat="1" applyFont="1" applyFill="1" applyBorder="1" applyAlignment="1">
      <alignment vertical="center"/>
    </xf>
    <xf numFmtId="177" fontId="4" fillId="2" borderId="6" xfId="0" applyNumberFormat="1" applyFont="1" applyFill="1" applyBorder="1" applyAlignment="1">
      <alignment vertical="center"/>
    </xf>
    <xf numFmtId="176" fontId="5" fillId="0" borderId="42" xfId="0" applyNumberFormat="1" applyFont="1" applyFill="1" applyBorder="1" applyAlignment="1">
      <alignment horizontal="center" vertical="center"/>
    </xf>
    <xf numFmtId="177" fontId="4" fillId="0" borderId="43" xfId="0" applyNumberFormat="1" applyFont="1" applyFill="1" applyBorder="1" applyAlignment="1">
      <alignment vertical="center"/>
    </xf>
    <xf numFmtId="177" fontId="4" fillId="0" borderId="8" xfId="0" applyNumberFormat="1" applyFont="1" applyFill="1" applyBorder="1" applyAlignment="1">
      <alignment vertical="center"/>
    </xf>
    <xf numFmtId="177" fontId="4" fillId="0" borderId="8" xfId="1" applyNumberFormat="1" applyFont="1" applyFill="1" applyBorder="1" applyAlignment="1">
      <alignment vertical="center"/>
    </xf>
    <xf numFmtId="177" fontId="4" fillId="0" borderId="9" xfId="0" applyNumberFormat="1" applyFont="1" applyFill="1" applyBorder="1" applyAlignment="1">
      <alignment vertical="center"/>
    </xf>
    <xf numFmtId="176" fontId="4" fillId="2" borderId="44" xfId="4" applyNumberFormat="1" applyFont="1" applyFill="1" applyBorder="1" applyAlignment="1" applyProtection="1">
      <alignment horizontal="center" vertical="center" wrapText="1"/>
    </xf>
    <xf numFmtId="181" fontId="4" fillId="2" borderId="45" xfId="4" applyNumberFormat="1" applyFont="1" applyFill="1" applyBorder="1" applyAlignment="1" applyProtection="1">
      <alignment horizontal="center" vertical="center" wrapText="1"/>
    </xf>
    <xf numFmtId="181" fontId="4" fillId="2" borderId="46" xfId="0" applyNumberFormat="1" applyFont="1" applyFill="1" applyBorder="1" applyAlignment="1" applyProtection="1">
      <alignment horizontal="center" vertical="center" wrapText="1"/>
    </xf>
    <xf numFmtId="176" fontId="4" fillId="2" borderId="47" xfId="4" applyNumberFormat="1" applyFont="1" applyFill="1" applyBorder="1" applyAlignment="1">
      <alignment horizontal="center" vertical="center"/>
    </xf>
    <xf numFmtId="182" fontId="4" fillId="2" borderId="48" xfId="5" applyNumberFormat="1" applyFont="1" applyFill="1" applyBorder="1" applyAlignment="1">
      <alignment horizontal="center" vertical="center" wrapText="1"/>
    </xf>
    <xf numFmtId="182" fontId="4" fillId="2" borderId="49" xfId="5" applyNumberFormat="1" applyFont="1" applyFill="1" applyBorder="1" applyAlignment="1">
      <alignment horizontal="center" vertical="center" wrapText="1"/>
    </xf>
    <xf numFmtId="176" fontId="4" fillId="2" borderId="50" xfId="4" applyNumberFormat="1" applyFont="1" applyFill="1" applyBorder="1" applyAlignment="1">
      <alignment horizontal="center" vertical="center"/>
    </xf>
    <xf numFmtId="182" fontId="4" fillId="2" borderId="51" xfId="5" applyNumberFormat="1" applyFont="1" applyFill="1" applyBorder="1" applyAlignment="1">
      <alignment horizontal="center" vertical="center" wrapText="1"/>
    </xf>
    <xf numFmtId="4" fontId="4" fillId="2" borderId="52" xfId="4" applyNumberFormat="1" applyFont="1" applyFill="1" applyBorder="1" applyAlignment="1" applyProtection="1">
      <alignment horizontal="center" vertical="center" wrapText="1"/>
    </xf>
    <xf numFmtId="4" fontId="4" fillId="2" borderId="53" xfId="4" applyNumberFormat="1" applyFont="1" applyFill="1" applyBorder="1" applyAlignment="1" applyProtection="1">
      <alignment horizontal="center" vertical="center" wrapText="1"/>
    </xf>
    <xf numFmtId="176" fontId="4" fillId="2" borderId="53" xfId="4" applyNumberFormat="1" applyFont="1" applyFill="1" applyBorder="1" applyAlignment="1" applyProtection="1">
      <alignment horizontal="center" vertical="center" wrapText="1"/>
    </xf>
    <xf numFmtId="176" fontId="4" fillId="2" borderId="54" xfId="4" applyNumberFormat="1" applyFont="1" applyFill="1" applyBorder="1" applyAlignment="1">
      <alignment horizontal="center" vertical="center" wrapText="1"/>
    </xf>
    <xf numFmtId="3" fontId="5" fillId="0" borderId="55" xfId="4" applyNumberFormat="1" applyFont="1" applyFill="1" applyBorder="1" applyAlignment="1">
      <alignment horizontal="left" vertical="center"/>
    </xf>
    <xf numFmtId="181" fontId="4" fillId="0" borderId="56" xfId="4" applyNumberFormat="1" applyFont="1" applyFill="1" applyBorder="1" applyAlignment="1" applyProtection="1">
      <alignment horizontal="left" vertical="center"/>
    </xf>
    <xf numFmtId="177" fontId="4" fillId="0" borderId="57" xfId="4" applyNumberFormat="1" applyFont="1" applyFill="1" applyBorder="1" applyAlignment="1" applyProtection="1">
      <alignment horizontal="center" vertical="center"/>
    </xf>
    <xf numFmtId="177" fontId="4" fillId="0" borderId="58" xfId="4" applyNumberFormat="1" applyFont="1" applyFill="1" applyBorder="1" applyAlignment="1" applyProtection="1">
      <alignment horizontal="center" vertical="center"/>
    </xf>
    <xf numFmtId="177" fontId="4" fillId="0" borderId="59" xfId="4" applyNumberFormat="1" applyFont="1" applyFill="1" applyBorder="1" applyAlignment="1" applyProtection="1">
      <alignment horizontal="center" vertical="center"/>
    </xf>
    <xf numFmtId="177" fontId="4" fillId="0" borderId="60" xfId="4" applyNumberFormat="1" applyFont="1" applyFill="1" applyBorder="1" applyAlignment="1" applyProtection="1">
      <alignment horizontal="center" vertical="center"/>
    </xf>
    <xf numFmtId="177" fontId="4" fillId="0" borderId="56" xfId="4" applyNumberFormat="1" applyFont="1" applyFill="1" applyBorder="1" applyAlignment="1" applyProtection="1">
      <alignment horizontal="center" vertical="center"/>
    </xf>
    <xf numFmtId="4" fontId="4" fillId="0" borderId="59" xfId="4" applyNumberFormat="1" applyFont="1" applyFill="1" applyBorder="1" applyAlignment="1" applyProtection="1">
      <alignment horizontal="center" vertical="center"/>
    </xf>
    <xf numFmtId="183" fontId="4" fillId="0" borderId="59" xfId="4" applyNumberFormat="1" applyFont="1" applyFill="1" applyBorder="1" applyAlignment="1" applyProtection="1">
      <alignment horizontal="center" vertical="center"/>
    </xf>
    <xf numFmtId="176" fontId="4" fillId="0" borderId="61" xfId="4" applyNumberFormat="1" applyFont="1" applyFill="1" applyBorder="1" applyAlignment="1">
      <alignment vertical="center"/>
    </xf>
    <xf numFmtId="3" fontId="4" fillId="0" borderId="62" xfId="4" applyNumberFormat="1" applyFont="1" applyFill="1" applyBorder="1" applyAlignment="1">
      <alignment horizontal="left" vertical="center" indent="1"/>
    </xf>
    <xf numFmtId="181" fontId="12" fillId="0" borderId="63" xfId="4" applyNumberFormat="1" applyFont="1" applyFill="1" applyBorder="1" applyAlignment="1" applyProtection="1">
      <alignment horizontal="left" vertical="center" shrinkToFit="1"/>
      <protection locked="0" hidden="1"/>
    </xf>
    <xf numFmtId="177" fontId="12" fillId="0" borderId="64" xfId="4" applyNumberFormat="1" applyFont="1" applyFill="1" applyBorder="1" applyAlignment="1" applyProtection="1">
      <alignment horizontal="center" vertical="center" shrinkToFit="1"/>
      <protection locked="0" hidden="1"/>
    </xf>
    <xf numFmtId="177" fontId="4" fillId="0" borderId="65" xfId="4" applyNumberFormat="1" applyFont="1" applyFill="1" applyBorder="1" applyAlignment="1" applyProtection="1">
      <alignment vertical="center"/>
      <protection locked="0"/>
    </xf>
    <xf numFmtId="177" fontId="4" fillId="0" borderId="66" xfId="4" applyNumberFormat="1" applyFont="1" applyFill="1" applyBorder="1" applyAlignment="1" applyProtection="1">
      <alignment vertical="center"/>
      <protection locked="0"/>
    </xf>
    <xf numFmtId="177" fontId="4" fillId="0" borderId="64" xfId="4" applyNumberFormat="1" applyFont="1" applyFill="1" applyBorder="1" applyAlignment="1" applyProtection="1">
      <alignment vertical="center"/>
      <protection locked="0"/>
    </xf>
    <xf numFmtId="4" fontId="4" fillId="0" borderId="65" xfId="4" applyNumberFormat="1" applyFont="1" applyFill="1" applyBorder="1" applyAlignment="1">
      <alignment horizontal="right" vertical="center"/>
    </xf>
    <xf numFmtId="4" fontId="4" fillId="0" borderId="65" xfId="4" applyNumberFormat="1" applyFont="1" applyFill="1" applyBorder="1" applyAlignment="1" applyProtection="1">
      <alignment vertical="center"/>
      <protection locked="0"/>
    </xf>
    <xf numFmtId="176" fontId="4" fillId="0" borderId="67" xfId="4" applyNumberFormat="1" applyFont="1" applyFill="1" applyBorder="1" applyAlignment="1">
      <alignment vertical="center"/>
    </xf>
    <xf numFmtId="3" fontId="4" fillId="0" borderId="62" xfId="4" applyNumberFormat="1" applyFont="1" applyFill="1" applyBorder="1" applyAlignment="1">
      <alignment horizontal="left" vertical="center" indent="2"/>
    </xf>
    <xf numFmtId="3" fontId="4" fillId="0" borderId="62" xfId="4" applyNumberFormat="1" applyFont="1" applyFill="1" applyBorder="1" applyAlignment="1">
      <alignment horizontal="left" vertical="center" indent="3"/>
    </xf>
    <xf numFmtId="3" fontId="4" fillId="0" borderId="62" xfId="4" applyNumberFormat="1" applyFont="1" applyFill="1" applyBorder="1" applyAlignment="1">
      <alignment horizontal="left" vertical="center"/>
    </xf>
    <xf numFmtId="177" fontId="4" fillId="0" borderId="65" xfId="4" applyNumberFormat="1" applyFont="1" applyFill="1" applyBorder="1" applyAlignment="1">
      <alignment vertical="center"/>
    </xf>
    <xf numFmtId="177" fontId="4" fillId="0" borderId="66" xfId="4" applyNumberFormat="1" applyFont="1" applyFill="1" applyBorder="1" applyAlignment="1">
      <alignment vertical="center"/>
    </xf>
    <xf numFmtId="177" fontId="4" fillId="0" borderId="64" xfId="4" applyNumberFormat="1" applyFont="1" applyFill="1" applyBorder="1" applyAlignment="1">
      <alignment vertical="center"/>
    </xf>
    <xf numFmtId="181" fontId="9" fillId="0" borderId="63" xfId="4" applyNumberFormat="1" applyFont="1" applyFill="1" applyBorder="1" applyAlignment="1">
      <alignment horizontal="center" vertical="center"/>
    </xf>
    <xf numFmtId="4" fontId="4" fillId="0" borderId="65" xfId="4" applyNumberFormat="1" applyFont="1" applyFill="1" applyBorder="1" applyAlignment="1" applyProtection="1">
      <alignment vertical="center"/>
    </xf>
    <xf numFmtId="181" fontId="12" fillId="0" borderId="63" xfId="4" applyNumberFormat="1" applyFont="1" applyFill="1" applyBorder="1" applyAlignment="1" applyProtection="1">
      <alignment horizontal="left" vertical="center"/>
      <protection locked="0" hidden="1"/>
    </xf>
    <xf numFmtId="181" fontId="4" fillId="0" borderId="63" xfId="4" applyNumberFormat="1" applyFont="1" applyFill="1" applyBorder="1" applyAlignment="1" applyProtection="1">
      <alignment vertical="center"/>
    </xf>
    <xf numFmtId="3" fontId="4" fillId="0" borderId="68" xfId="4" applyNumberFormat="1" applyFont="1" applyFill="1" applyBorder="1" applyAlignment="1">
      <alignment horizontal="left" vertical="center"/>
    </xf>
    <xf numFmtId="181" fontId="12" fillId="0" borderId="69" xfId="4" applyNumberFormat="1" applyFont="1" applyFill="1" applyBorder="1" applyAlignment="1" applyProtection="1">
      <alignment horizontal="left" vertical="center"/>
      <protection locked="0" hidden="1"/>
    </xf>
    <xf numFmtId="177" fontId="12" fillId="0" borderId="70" xfId="4" applyNumberFormat="1" applyFont="1" applyFill="1" applyBorder="1" applyAlignment="1" applyProtection="1">
      <alignment horizontal="center" vertical="center" shrinkToFit="1"/>
      <protection locked="0" hidden="1"/>
    </xf>
    <xf numFmtId="177" fontId="4" fillId="0" borderId="71" xfId="4" applyNumberFormat="1" applyFont="1" applyFill="1" applyBorder="1" applyAlignment="1" applyProtection="1">
      <alignment vertical="center"/>
      <protection locked="0"/>
    </xf>
    <xf numFmtId="177" fontId="4" fillId="0" borderId="72" xfId="4" applyNumberFormat="1" applyFont="1" applyFill="1" applyBorder="1" applyAlignment="1" applyProtection="1">
      <alignment vertical="center"/>
      <protection locked="0"/>
    </xf>
    <xf numFmtId="177" fontId="4" fillId="0" borderId="73" xfId="4" applyNumberFormat="1" applyFont="1" applyFill="1" applyBorder="1" applyAlignment="1" applyProtection="1">
      <alignment horizontal="center" vertical="center"/>
    </xf>
    <xf numFmtId="177" fontId="4" fillId="0" borderId="74" xfId="4" applyNumberFormat="1" applyFont="1" applyFill="1" applyBorder="1" applyAlignment="1" applyProtection="1">
      <alignment vertical="center"/>
      <protection locked="0"/>
    </xf>
    <xf numFmtId="4" fontId="4" fillId="0" borderId="71" xfId="4" applyNumberFormat="1" applyFont="1" applyFill="1" applyBorder="1" applyAlignment="1">
      <alignment horizontal="right" vertical="center"/>
    </xf>
    <xf numFmtId="4" fontId="4" fillId="0" borderId="71" xfId="4" applyNumberFormat="1" applyFont="1" applyFill="1" applyBorder="1" applyAlignment="1" applyProtection="1">
      <alignment vertical="center"/>
      <protection locked="0"/>
    </xf>
    <xf numFmtId="176" fontId="4" fillId="0" borderId="75" xfId="4" applyNumberFormat="1" applyFont="1" applyFill="1" applyBorder="1" applyAlignment="1">
      <alignment vertical="center"/>
    </xf>
    <xf numFmtId="3" fontId="5" fillId="0" borderId="76" xfId="4" applyNumberFormat="1" applyFont="1" applyFill="1" applyBorder="1" applyAlignment="1">
      <alignment horizontal="left" vertical="center"/>
    </xf>
    <xf numFmtId="181" fontId="12" fillId="0" borderId="77" xfId="4" applyNumberFormat="1" applyFont="1" applyFill="1" applyBorder="1" applyAlignment="1" applyProtection="1">
      <alignment horizontal="left" vertical="center"/>
      <protection locked="0" hidden="1"/>
    </xf>
    <xf numFmtId="177" fontId="12" fillId="0" borderId="57" xfId="4" applyNumberFormat="1" applyFont="1" applyFill="1" applyBorder="1" applyAlignment="1" applyProtection="1">
      <alignment horizontal="center" vertical="center" shrinkToFit="1"/>
      <protection locked="0" hidden="1"/>
    </xf>
    <xf numFmtId="177" fontId="4" fillId="0" borderId="78" xfId="4" applyNumberFormat="1" applyFont="1" applyFill="1" applyBorder="1" applyAlignment="1">
      <alignment horizontal="center" vertical="center"/>
    </xf>
    <xf numFmtId="177" fontId="4" fillId="0" borderId="79" xfId="4" applyNumberFormat="1" applyFont="1" applyFill="1" applyBorder="1" applyAlignment="1" applyProtection="1">
      <alignment vertical="center"/>
      <protection locked="0"/>
    </xf>
    <xf numFmtId="177" fontId="4" fillId="0" borderId="80" xfId="4" applyNumberFormat="1" applyFont="1" applyFill="1" applyBorder="1" applyAlignment="1" applyProtection="1">
      <alignment vertical="center"/>
      <protection locked="0"/>
    </xf>
    <xf numFmtId="177" fontId="4" fillId="0" borderId="56" xfId="4" applyNumberFormat="1" applyFont="1" applyFill="1" applyBorder="1" applyAlignment="1">
      <alignment horizontal="center" vertical="center"/>
    </xf>
    <xf numFmtId="177" fontId="4" fillId="0" borderId="81" xfId="4" applyNumberFormat="1" applyFont="1" applyFill="1" applyBorder="1" applyAlignment="1" applyProtection="1">
      <alignment vertical="center"/>
      <protection locked="0"/>
    </xf>
    <xf numFmtId="177" fontId="4" fillId="0" borderId="77" xfId="4" applyNumberFormat="1" applyFont="1" applyFill="1" applyBorder="1" applyAlignment="1">
      <alignment horizontal="center" vertical="center"/>
    </xf>
    <xf numFmtId="4" fontId="4" fillId="0" borderId="79" xfId="4" applyNumberFormat="1" applyFont="1" applyFill="1" applyBorder="1" applyAlignment="1">
      <alignment horizontal="right" vertical="center"/>
    </xf>
    <xf numFmtId="4" fontId="4" fillId="0" borderId="79" xfId="4" applyNumberFormat="1" applyFont="1" applyFill="1" applyBorder="1" applyAlignment="1" applyProtection="1">
      <alignment vertical="center"/>
      <protection locked="0"/>
    </xf>
    <xf numFmtId="176" fontId="4" fillId="0" borderId="82" xfId="4" applyNumberFormat="1" applyFont="1" applyFill="1" applyBorder="1" applyAlignment="1">
      <alignment vertical="center"/>
    </xf>
    <xf numFmtId="177" fontId="4" fillId="0" borderId="83" xfId="4" applyNumberFormat="1" applyFont="1" applyFill="1" applyBorder="1" applyAlignment="1">
      <alignment horizontal="center" vertical="center"/>
    </xf>
    <xf numFmtId="177" fontId="4" fillId="0" borderId="63" xfId="4" applyNumberFormat="1" applyFont="1" applyFill="1" applyBorder="1" applyAlignment="1">
      <alignment horizontal="center" vertical="center"/>
    </xf>
    <xf numFmtId="177" fontId="4" fillId="0" borderId="58" xfId="4" applyNumberFormat="1" applyFont="1" applyFill="1" applyBorder="1" applyAlignment="1">
      <alignment horizontal="center" vertical="center"/>
    </xf>
    <xf numFmtId="181" fontId="9" fillId="0" borderId="63" xfId="4" applyNumberFormat="1" applyFont="1" applyFill="1" applyBorder="1" applyAlignment="1" applyProtection="1">
      <alignment horizontal="centerContinuous" vertical="center"/>
    </xf>
    <xf numFmtId="177" fontId="4" fillId="0" borderId="64" xfId="4" applyNumberFormat="1" applyFont="1" applyFill="1" applyBorder="1" applyAlignment="1" applyProtection="1">
      <alignment horizontal="center" vertical="center"/>
    </xf>
    <xf numFmtId="3" fontId="4" fillId="2" borderId="17" xfId="4" applyNumberFormat="1" applyFont="1" applyFill="1" applyBorder="1" applyAlignment="1">
      <alignment horizontal="center" vertical="center"/>
    </xf>
    <xf numFmtId="181" fontId="4" fillId="2" borderId="18" xfId="4" applyNumberFormat="1" applyFont="1" applyFill="1" applyBorder="1" applyAlignment="1" applyProtection="1">
      <alignment horizontal="centerContinuous" vertical="center"/>
    </xf>
    <xf numFmtId="177" fontId="4" fillId="2" borderId="19" xfId="4" applyNumberFormat="1" applyFont="1" applyFill="1" applyBorder="1" applyAlignment="1" applyProtection="1">
      <alignment horizontal="center" vertical="center"/>
    </xf>
    <xf numFmtId="177" fontId="4" fillId="2" borderId="18" xfId="4" applyNumberFormat="1" applyFont="1" applyFill="1" applyBorder="1" applyAlignment="1">
      <alignment horizontal="center" vertical="center"/>
    </xf>
    <xf numFmtId="177" fontId="4" fillId="2" borderId="27" xfId="4" applyNumberFormat="1" applyFont="1" applyFill="1" applyBorder="1" applyAlignment="1">
      <alignment horizontal="center" vertical="center"/>
    </xf>
    <xf numFmtId="177" fontId="4" fillId="2" borderId="70" xfId="4" applyNumberFormat="1" applyFont="1" applyFill="1" applyBorder="1" applyAlignment="1">
      <alignment horizontal="center" vertical="center"/>
    </xf>
    <xf numFmtId="177" fontId="4" fillId="2" borderId="26" xfId="4" applyNumberFormat="1" applyFont="1" applyFill="1" applyBorder="1" applyAlignment="1">
      <alignment horizontal="center" vertical="center"/>
    </xf>
    <xf numFmtId="4" fontId="4" fillId="2" borderId="84" xfId="4" applyNumberFormat="1" applyFont="1" applyFill="1" applyBorder="1" applyAlignment="1" applyProtection="1">
      <alignment horizontal="center" vertical="center"/>
    </xf>
    <xf numFmtId="183" fontId="4" fillId="2" borderId="84" xfId="4" applyNumberFormat="1" applyFont="1" applyFill="1" applyBorder="1" applyAlignment="1" applyProtection="1">
      <alignment horizontal="center" vertical="center"/>
    </xf>
    <xf numFmtId="176" fontId="4" fillId="2" borderId="28" xfId="4" applyNumberFormat="1" applyFont="1" applyFill="1" applyBorder="1" applyAlignment="1">
      <alignment vertical="center"/>
    </xf>
    <xf numFmtId="3" fontId="4" fillId="0" borderId="85" xfId="4" applyNumberFormat="1" applyFont="1" applyFill="1" applyBorder="1" applyAlignment="1">
      <alignment horizontal="left" vertical="center"/>
    </xf>
    <xf numFmtId="181" fontId="4" fillId="0" borderId="86" xfId="4" applyNumberFormat="1" applyFont="1" applyFill="1" applyBorder="1" applyAlignment="1" applyProtection="1">
      <alignment horizontal="centerContinuous" vertical="center"/>
    </xf>
    <xf numFmtId="177" fontId="4" fillId="0" borderId="56" xfId="4" applyNumberFormat="1" applyFont="1" applyFill="1" applyBorder="1" applyAlignment="1">
      <alignment horizontal="right" vertical="center"/>
    </xf>
    <xf numFmtId="177" fontId="4" fillId="0" borderId="59" xfId="4" applyNumberFormat="1" applyFont="1" applyFill="1" applyBorder="1" applyAlignment="1" applyProtection="1">
      <alignment vertical="center"/>
    </xf>
    <xf numFmtId="177" fontId="4" fillId="0" borderId="57" xfId="4" applyNumberFormat="1" applyFont="1" applyFill="1" applyBorder="1" applyAlignment="1" applyProtection="1">
      <alignment vertical="center"/>
    </xf>
    <xf numFmtId="177" fontId="4" fillId="0" borderId="58" xfId="4" applyNumberFormat="1" applyFont="1" applyFill="1" applyBorder="1" applyAlignment="1">
      <alignment horizontal="right" vertical="center"/>
    </xf>
    <xf numFmtId="177" fontId="4" fillId="0" borderId="59" xfId="4" applyNumberFormat="1" applyFont="1" applyFill="1" applyBorder="1" applyAlignment="1">
      <alignment horizontal="right" vertical="center"/>
    </xf>
    <xf numFmtId="4" fontId="4" fillId="0" borderId="59" xfId="4" applyNumberFormat="1" applyFont="1" applyFill="1" applyBorder="1" applyAlignment="1">
      <alignment horizontal="right" vertical="center"/>
    </xf>
    <xf numFmtId="4" fontId="4" fillId="0" borderId="59" xfId="4" applyNumberFormat="1" applyFont="1" applyFill="1" applyBorder="1" applyAlignment="1" applyProtection="1">
      <alignment vertical="center"/>
    </xf>
    <xf numFmtId="4" fontId="4" fillId="2" borderId="59" xfId="4" applyNumberFormat="1" applyFont="1" applyFill="1" applyBorder="1" applyAlignment="1" applyProtection="1">
      <alignment horizontal="center" vertical="center"/>
    </xf>
    <xf numFmtId="183" fontId="4" fillId="2" borderId="59" xfId="4" applyNumberFormat="1" applyFont="1" applyFill="1" applyBorder="1" applyAlignment="1" applyProtection="1">
      <alignment horizontal="center" vertical="center"/>
    </xf>
    <xf numFmtId="176" fontId="4" fillId="2" borderId="61" xfId="4" applyNumberFormat="1" applyFont="1" applyFill="1" applyBorder="1" applyAlignment="1">
      <alignment vertical="center"/>
    </xf>
    <xf numFmtId="3" fontId="5" fillId="2" borderId="87" xfId="4" applyNumberFormat="1" applyFont="1" applyFill="1" applyBorder="1" applyAlignment="1">
      <alignment horizontal="center" vertical="center"/>
    </xf>
    <xf numFmtId="181" fontId="4" fillId="2" borderId="88" xfId="4" applyNumberFormat="1" applyFont="1" applyFill="1" applyBorder="1" applyAlignment="1" applyProtection="1">
      <alignment horizontal="centerContinuous" vertical="center"/>
    </xf>
    <xf numFmtId="177" fontId="4" fillId="2" borderId="89" xfId="4" applyNumberFormat="1" applyFont="1" applyFill="1" applyBorder="1" applyAlignment="1" applyProtection="1">
      <alignment horizontal="center" vertical="center"/>
    </xf>
    <xf numFmtId="177" fontId="4" fillId="2" borderId="88" xfId="4" applyNumberFormat="1" applyFont="1" applyFill="1" applyBorder="1" applyAlignment="1" applyProtection="1">
      <alignment horizontal="center" vertical="center"/>
    </xf>
    <xf numFmtId="177" fontId="4" fillId="2" borderId="90" xfId="4" applyNumberFormat="1" applyFont="1" applyFill="1" applyBorder="1" applyAlignment="1" applyProtection="1">
      <alignment horizontal="center" vertical="center"/>
    </xf>
    <xf numFmtId="177" fontId="4" fillId="2" borderId="91" xfId="4" applyNumberFormat="1" applyFont="1" applyFill="1" applyBorder="1" applyAlignment="1" applyProtection="1">
      <alignment horizontal="center" vertical="center"/>
    </xf>
    <xf numFmtId="177" fontId="4" fillId="2" borderId="92" xfId="4" applyNumberFormat="1" applyFont="1" applyFill="1" applyBorder="1" applyAlignment="1" applyProtection="1">
      <alignment horizontal="center" vertical="center"/>
    </xf>
    <xf numFmtId="4" fontId="4" fillId="2" borderId="90" xfId="4" applyNumberFormat="1" applyFont="1" applyFill="1" applyBorder="1" applyAlignment="1" applyProtection="1">
      <alignment horizontal="center" vertical="center"/>
    </xf>
    <xf numFmtId="183" fontId="4" fillId="2" borderId="90" xfId="4" applyNumberFormat="1" applyFont="1" applyFill="1" applyBorder="1" applyAlignment="1" applyProtection="1">
      <alignment horizontal="center" vertical="center"/>
    </xf>
    <xf numFmtId="176" fontId="4" fillId="2" borderId="93" xfId="4" applyNumberFormat="1" applyFont="1" applyFill="1" applyBorder="1" applyAlignment="1">
      <alignment vertical="center"/>
    </xf>
    <xf numFmtId="4" fontId="4" fillId="0" borderId="0" xfId="4" applyNumberFormat="1" applyFont="1" applyFill="1" applyBorder="1" applyAlignment="1" applyProtection="1">
      <alignment horizontal="left"/>
    </xf>
    <xf numFmtId="4" fontId="4" fillId="0" borderId="0" xfId="4" applyNumberFormat="1" applyFont="1" applyFill="1" applyAlignment="1">
      <alignment vertical="center"/>
    </xf>
    <xf numFmtId="181" fontId="4" fillId="0" borderId="0" xfId="4" applyNumberFormat="1" applyFont="1" applyFill="1" applyAlignment="1">
      <alignment vertical="center"/>
    </xf>
    <xf numFmtId="4" fontId="4" fillId="0" borderId="0" xfId="4" applyNumberFormat="1" applyFont="1" applyFill="1" applyBorder="1" applyAlignment="1" applyProtection="1">
      <alignment vertical="center"/>
    </xf>
    <xf numFmtId="4" fontId="4" fillId="0" borderId="0" xfId="4" applyNumberFormat="1" applyFont="1" applyFill="1" applyAlignment="1" applyProtection="1">
      <alignment vertical="center"/>
    </xf>
    <xf numFmtId="176" fontId="4" fillId="0" borderId="0" xfId="4" applyNumberFormat="1" applyFont="1" applyFill="1" applyAlignment="1" applyProtection="1">
      <alignment horizontal="left" vertical="center"/>
    </xf>
    <xf numFmtId="176" fontId="4" fillId="0" borderId="0" xfId="4" applyNumberFormat="1" applyFont="1" applyFill="1" applyAlignment="1">
      <alignment vertical="center"/>
    </xf>
    <xf numFmtId="0" fontId="4" fillId="0" borderId="0" xfId="0" applyFont="1" applyAlignment="1"/>
    <xf numFmtId="0" fontId="0" fillId="0" borderId="0" xfId="0" applyAlignment="1"/>
    <xf numFmtId="0" fontId="4" fillId="0" borderId="0" xfId="0" applyFont="1" applyAlignment="1">
      <alignment horizontal="center" vertical="center"/>
    </xf>
    <xf numFmtId="176" fontId="4" fillId="2" borderId="20" xfId="0" applyNumberFormat="1" applyFont="1" applyFill="1" applyBorder="1" applyAlignment="1">
      <alignment horizontal="center" vertical="center"/>
    </xf>
    <xf numFmtId="176" fontId="4" fillId="2" borderId="21" xfId="0" applyNumberFormat="1" applyFont="1" applyFill="1" applyBorder="1" applyAlignment="1">
      <alignment horizontal="center" vertical="center"/>
    </xf>
    <xf numFmtId="176" fontId="4" fillId="2" borderId="24" xfId="0" applyNumberFormat="1" applyFont="1" applyFill="1" applyBorder="1" applyAlignment="1">
      <alignment horizontal="center" vertical="center"/>
    </xf>
    <xf numFmtId="176" fontId="4" fillId="2" borderId="22" xfId="0" applyNumberFormat="1" applyFont="1" applyFill="1" applyBorder="1" applyAlignment="1">
      <alignment horizontal="center" vertical="center"/>
    </xf>
    <xf numFmtId="176" fontId="4" fillId="2" borderId="23" xfId="0" applyNumberFormat="1" applyFont="1" applyFill="1" applyBorder="1" applyAlignment="1">
      <alignment horizontal="center" vertical="center"/>
    </xf>
    <xf numFmtId="176" fontId="5" fillId="0" borderId="55" xfId="0" applyNumberFormat="1" applyFont="1" applyFill="1" applyBorder="1" applyAlignment="1" applyProtection="1">
      <alignment horizontal="left" vertical="center"/>
    </xf>
    <xf numFmtId="177" fontId="4" fillId="0" borderId="56" xfId="0" applyNumberFormat="1" applyFont="1" applyFill="1" applyBorder="1" applyAlignment="1" applyProtection="1">
      <alignment horizontal="center" vertical="center"/>
    </xf>
    <xf numFmtId="177" fontId="4" fillId="0" borderId="59" xfId="0" applyNumberFormat="1" applyFont="1" applyFill="1" applyBorder="1" applyAlignment="1" applyProtection="1">
      <alignment horizontal="right"/>
    </xf>
    <xf numFmtId="177" fontId="4" fillId="0" borderId="60" xfId="0" applyNumberFormat="1" applyFont="1" applyFill="1" applyBorder="1" applyAlignment="1" applyProtection="1">
      <alignment horizontal="right"/>
    </xf>
    <xf numFmtId="177" fontId="4" fillId="0" borderId="59" xfId="0" applyNumberFormat="1" applyFont="1" applyFill="1" applyBorder="1" applyAlignment="1" applyProtection="1">
      <alignment horizontal="center" vertical="center"/>
    </xf>
    <xf numFmtId="177" fontId="4" fillId="0" borderId="57" xfId="0" applyNumberFormat="1" applyFont="1" applyFill="1" applyBorder="1" applyAlignment="1" applyProtection="1">
      <alignment horizontal="center" vertical="center"/>
    </xf>
    <xf numFmtId="177" fontId="4" fillId="0" borderId="58" xfId="0" applyNumberFormat="1" applyFont="1" applyFill="1" applyBorder="1" applyAlignment="1" applyProtection="1">
      <alignment horizontal="center" vertical="center"/>
    </xf>
    <xf numFmtId="177" fontId="4" fillId="0" borderId="60" xfId="0" applyNumberFormat="1" applyFont="1" applyFill="1" applyBorder="1" applyAlignment="1" applyProtection="1">
      <alignment horizontal="center" vertical="center"/>
    </xf>
    <xf numFmtId="9" fontId="4" fillId="0" borderId="59" xfId="0" applyNumberFormat="1" applyFont="1" applyFill="1" applyBorder="1" applyAlignment="1" applyProtection="1">
      <alignment horizontal="center" vertical="center"/>
    </xf>
    <xf numFmtId="176" fontId="4" fillId="0" borderId="61" xfId="0" applyNumberFormat="1" applyFont="1" applyFill="1" applyBorder="1" applyAlignment="1">
      <alignment horizontal="center" vertical="center"/>
    </xf>
    <xf numFmtId="0" fontId="12" fillId="0" borderId="62" xfId="0" applyFont="1" applyFill="1" applyBorder="1" applyAlignment="1" applyProtection="1">
      <alignment horizontal="left" vertical="center" indent="1"/>
      <protection locked="0" hidden="1"/>
    </xf>
    <xf numFmtId="177" fontId="4" fillId="0" borderId="65" xfId="1" applyNumberFormat="1" applyFont="1" applyFill="1" applyBorder="1" applyAlignment="1" applyProtection="1">
      <alignment horizontal="center" vertical="center"/>
    </xf>
    <xf numFmtId="177" fontId="4" fillId="0" borderId="66" xfId="1" applyNumberFormat="1" applyFont="1" applyFill="1" applyBorder="1" applyAlignment="1" applyProtection="1">
      <alignment horizontal="center" vertical="center"/>
    </xf>
    <xf numFmtId="177" fontId="4" fillId="0" borderId="63" xfId="1" applyNumberFormat="1" applyFont="1" applyFill="1" applyBorder="1" applyAlignment="1">
      <alignment horizontal="center" vertical="center"/>
    </xf>
    <xf numFmtId="177" fontId="4" fillId="0" borderId="64" xfId="1" applyNumberFormat="1" applyFont="1" applyFill="1" applyBorder="1" applyAlignment="1" applyProtection="1">
      <alignment horizontal="center" vertical="center"/>
    </xf>
    <xf numFmtId="177" fontId="4" fillId="0" borderId="83" xfId="1" applyNumberFormat="1" applyFont="1" applyFill="1" applyBorder="1" applyAlignment="1">
      <alignment horizontal="center" vertical="center"/>
    </xf>
    <xf numFmtId="177" fontId="4" fillId="0" borderId="83" xfId="6" applyNumberFormat="1" applyFont="1" applyBorder="1" applyAlignment="1">
      <alignment horizontal="center" vertical="center"/>
    </xf>
    <xf numFmtId="9" fontId="4" fillId="0" borderId="65" xfId="6" applyNumberFormat="1" applyFont="1" applyFill="1" applyBorder="1" applyAlignment="1" applyProtection="1">
      <alignment horizontal="center" vertical="center"/>
    </xf>
    <xf numFmtId="178" fontId="4" fillId="0" borderId="67" xfId="0" applyNumberFormat="1" applyFont="1" applyFill="1" applyBorder="1" applyAlignment="1">
      <alignment horizontal="center" vertical="center"/>
    </xf>
    <xf numFmtId="177" fontId="4" fillId="0" borderId="65" xfId="1" applyNumberFormat="1" applyFont="1" applyFill="1" applyBorder="1" applyAlignment="1">
      <alignment horizontal="center" vertical="center"/>
    </xf>
    <xf numFmtId="177" fontId="4" fillId="0" borderId="66" xfId="1" applyNumberFormat="1" applyFont="1" applyFill="1" applyBorder="1" applyAlignment="1">
      <alignment horizontal="center" vertical="center"/>
    </xf>
    <xf numFmtId="177" fontId="4" fillId="0" borderId="64" xfId="1" applyNumberFormat="1" applyFont="1" applyFill="1" applyBorder="1" applyAlignment="1">
      <alignment horizontal="center" vertical="center"/>
    </xf>
    <xf numFmtId="0" fontId="12" fillId="0" borderId="62" xfId="0" applyFont="1" applyFill="1" applyBorder="1" applyAlignment="1" applyProtection="1">
      <alignment horizontal="left" vertical="center" wrapText="1" indent="1"/>
      <protection locked="0" hidden="1"/>
    </xf>
    <xf numFmtId="178" fontId="4" fillId="0" borderId="67" xfId="7" applyNumberFormat="1" applyFont="1" applyFill="1" applyBorder="1" applyAlignment="1">
      <alignment horizontal="center" vertical="center"/>
    </xf>
    <xf numFmtId="177" fontId="5" fillId="0" borderId="65" xfId="1" applyNumberFormat="1" applyFont="1" applyFill="1" applyBorder="1" applyAlignment="1" applyProtection="1">
      <alignment horizontal="center" vertical="center"/>
    </xf>
    <xf numFmtId="0" fontId="12" fillId="2" borderId="68" xfId="0" applyFont="1" applyFill="1" applyBorder="1" applyAlignment="1" applyProtection="1">
      <alignment horizontal="center" vertical="center"/>
      <protection locked="0" hidden="1"/>
    </xf>
    <xf numFmtId="177" fontId="4" fillId="2" borderId="69" xfId="1" applyNumberFormat="1" applyFont="1" applyFill="1" applyBorder="1" applyAlignment="1">
      <alignment horizontal="center" vertical="center"/>
    </xf>
    <xf numFmtId="177" fontId="4" fillId="2" borderId="71" xfId="1" applyNumberFormat="1" applyFont="1" applyFill="1" applyBorder="1" applyAlignment="1" applyProtection="1">
      <alignment horizontal="center" vertical="center"/>
    </xf>
    <xf numFmtId="177" fontId="4" fillId="2" borderId="74" xfId="1" applyNumberFormat="1" applyFont="1" applyFill="1" applyBorder="1" applyAlignment="1" applyProtection="1">
      <alignment horizontal="center" vertical="center"/>
    </xf>
    <xf numFmtId="177" fontId="4" fillId="2" borderId="97" xfId="1" applyNumberFormat="1" applyFont="1" applyFill="1" applyBorder="1" applyAlignment="1" applyProtection="1">
      <alignment horizontal="center" vertical="center"/>
    </xf>
    <xf numFmtId="177" fontId="4" fillId="2" borderId="69" xfId="1" applyNumberFormat="1" applyFont="1" applyFill="1" applyBorder="1" applyAlignment="1" applyProtection="1">
      <alignment horizontal="center" vertical="center"/>
    </xf>
    <xf numFmtId="177" fontId="4" fillId="2" borderId="26" xfId="6" applyNumberFormat="1" applyFont="1" applyFill="1" applyBorder="1" applyAlignment="1">
      <alignment horizontal="center" vertical="center"/>
    </xf>
    <xf numFmtId="177" fontId="4" fillId="2" borderId="27" xfId="1" applyNumberFormat="1" applyFont="1" applyFill="1" applyBorder="1" applyAlignment="1" applyProtection="1">
      <alignment horizontal="center" vertical="center"/>
    </xf>
    <xf numFmtId="9" fontId="4" fillId="2" borderId="27" xfId="6" applyNumberFormat="1" applyFont="1" applyFill="1" applyBorder="1" applyAlignment="1" applyProtection="1">
      <alignment horizontal="center" vertical="center"/>
    </xf>
    <xf numFmtId="178" fontId="4" fillId="2" borderId="75" xfId="0" applyNumberFormat="1" applyFont="1" applyFill="1" applyBorder="1" applyAlignment="1">
      <alignment horizontal="center" vertical="center"/>
    </xf>
    <xf numFmtId="0" fontId="14" fillId="0" borderId="76" xfId="0" applyFont="1" applyFill="1" applyBorder="1" applyAlignment="1" applyProtection="1">
      <alignment horizontal="left" vertical="center"/>
      <protection locked="0" hidden="1"/>
    </xf>
    <xf numFmtId="177" fontId="4" fillId="0" borderId="77" xfId="1" applyNumberFormat="1" applyFont="1" applyFill="1" applyBorder="1" applyAlignment="1">
      <alignment horizontal="center" vertical="center"/>
    </xf>
    <xf numFmtId="177" fontId="4" fillId="0" borderId="79" xfId="1" applyNumberFormat="1" applyFont="1" applyFill="1" applyBorder="1" applyAlignment="1" applyProtection="1">
      <alignment horizontal="right"/>
    </xf>
    <xf numFmtId="177" fontId="4" fillId="0" borderId="80" xfId="1" applyNumberFormat="1" applyFont="1" applyFill="1" applyBorder="1" applyAlignment="1" applyProtection="1">
      <alignment horizontal="right"/>
    </xf>
    <xf numFmtId="177" fontId="4" fillId="0" borderId="79" xfId="1" applyNumberFormat="1" applyFont="1" applyFill="1" applyBorder="1" applyAlignment="1" applyProtection="1">
      <alignment horizontal="center" vertical="center"/>
    </xf>
    <xf numFmtId="177" fontId="4" fillId="0" borderId="81" xfId="1" applyNumberFormat="1" applyFont="1" applyFill="1" applyBorder="1" applyAlignment="1" applyProtection="1">
      <alignment horizontal="center" vertical="center"/>
    </xf>
    <xf numFmtId="177" fontId="4" fillId="0" borderId="78" xfId="1" applyNumberFormat="1" applyFont="1" applyFill="1" applyBorder="1" applyAlignment="1">
      <alignment horizontal="center" vertical="center"/>
    </xf>
    <xf numFmtId="177" fontId="4" fillId="0" borderId="80" xfId="1" applyNumberFormat="1" applyFont="1" applyFill="1" applyBorder="1" applyAlignment="1" applyProtection="1">
      <alignment horizontal="center" vertical="center"/>
    </xf>
    <xf numFmtId="177" fontId="4" fillId="0" borderId="58" xfId="6" applyNumberFormat="1" applyFont="1" applyBorder="1" applyAlignment="1">
      <alignment horizontal="center" vertical="center"/>
    </xf>
    <xf numFmtId="177" fontId="4" fillId="0" borderId="98" xfId="1" applyNumberFormat="1" applyFont="1" applyFill="1" applyBorder="1" applyAlignment="1" applyProtection="1">
      <alignment horizontal="center" vertical="center"/>
    </xf>
    <xf numFmtId="9" fontId="4" fillId="0" borderId="59" xfId="6" applyNumberFormat="1" applyFont="1" applyFill="1" applyBorder="1" applyAlignment="1" applyProtection="1">
      <alignment horizontal="center" vertical="center"/>
    </xf>
    <xf numFmtId="178" fontId="4" fillId="0" borderId="82" xfId="0" applyNumberFormat="1" applyFont="1" applyFill="1" applyBorder="1" applyAlignment="1">
      <alignment horizontal="center" vertical="center"/>
    </xf>
    <xf numFmtId="177" fontId="4" fillId="0" borderId="65" xfId="1" applyNumberFormat="1" applyFont="1" applyFill="1" applyBorder="1" applyAlignment="1" applyProtection="1">
      <alignment horizontal="right"/>
    </xf>
    <xf numFmtId="177" fontId="4" fillId="0" borderId="66" xfId="1" applyNumberFormat="1" applyFont="1" applyFill="1" applyBorder="1" applyAlignment="1" applyProtection="1">
      <alignment horizontal="right"/>
    </xf>
    <xf numFmtId="177" fontId="4" fillId="0" borderId="71" xfId="1" applyNumberFormat="1" applyFont="1" applyFill="1" applyBorder="1" applyAlignment="1" applyProtection="1">
      <alignment horizontal="center" vertical="center"/>
    </xf>
    <xf numFmtId="9" fontId="4" fillId="0" borderId="71" xfId="6" applyNumberFormat="1" applyFont="1" applyFill="1" applyBorder="1" applyAlignment="1" applyProtection="1">
      <alignment horizontal="center" vertical="center"/>
    </xf>
    <xf numFmtId="176" fontId="4" fillId="0" borderId="62" xfId="7" applyNumberFormat="1" applyFont="1" applyFill="1" applyBorder="1" applyAlignment="1" applyProtection="1">
      <alignment horizontal="left" vertical="center" indent="1"/>
    </xf>
    <xf numFmtId="177" fontId="5" fillId="0" borderId="65" xfId="1" applyNumberFormat="1" applyFont="1" applyFill="1" applyBorder="1" applyAlignment="1" applyProtection="1">
      <alignment horizontal="right"/>
    </xf>
    <xf numFmtId="177" fontId="5" fillId="0" borderId="66" xfId="1" applyNumberFormat="1" applyFont="1" applyFill="1" applyBorder="1" applyAlignment="1" applyProtection="1">
      <alignment horizontal="right"/>
    </xf>
    <xf numFmtId="177" fontId="5" fillId="0" borderId="64" xfId="1" applyNumberFormat="1" applyFont="1" applyFill="1" applyBorder="1" applyAlignment="1" applyProtection="1">
      <alignment horizontal="center" vertical="center"/>
    </xf>
    <xf numFmtId="177" fontId="5" fillId="0" borderId="66" xfId="1" applyNumberFormat="1" applyFont="1" applyFill="1" applyBorder="1" applyAlignment="1" applyProtection="1">
      <alignment horizontal="center" vertical="center"/>
    </xf>
    <xf numFmtId="176" fontId="4" fillId="0" borderId="68" xfId="7" applyNumberFormat="1" applyFont="1" applyFill="1" applyBorder="1" applyAlignment="1" applyProtection="1">
      <alignment horizontal="left" vertical="center" wrapText="1" indent="1"/>
    </xf>
    <xf numFmtId="177" fontId="5" fillId="0" borderId="71" xfId="2" applyNumberFormat="1" applyFont="1" applyFill="1" applyBorder="1" applyAlignment="1" applyProtection="1">
      <alignment horizontal="right"/>
    </xf>
    <xf numFmtId="177" fontId="5" fillId="0" borderId="72" xfId="2" applyNumberFormat="1" applyFont="1" applyFill="1" applyBorder="1" applyAlignment="1" applyProtection="1">
      <alignment horizontal="right"/>
    </xf>
    <xf numFmtId="177" fontId="5" fillId="0" borderId="71" xfId="2" applyNumberFormat="1" applyFont="1" applyFill="1" applyBorder="1" applyAlignment="1" applyProtection="1">
      <alignment horizontal="center" vertical="center"/>
    </xf>
    <xf numFmtId="177" fontId="5" fillId="0" borderId="74" xfId="2" applyNumberFormat="1" applyFont="1" applyFill="1" applyBorder="1" applyAlignment="1" applyProtection="1">
      <alignment horizontal="center" vertical="center"/>
    </xf>
    <xf numFmtId="177" fontId="5" fillId="0" borderId="72" xfId="2" applyNumberFormat="1" applyFont="1" applyFill="1" applyBorder="1" applyAlignment="1" applyProtection="1">
      <alignment horizontal="center" vertical="center"/>
    </xf>
    <xf numFmtId="177" fontId="5" fillId="0" borderId="71" xfId="1" applyNumberFormat="1" applyFont="1" applyFill="1" applyBorder="1" applyAlignment="1" applyProtection="1">
      <alignment horizontal="center" vertical="center"/>
    </xf>
    <xf numFmtId="178" fontId="4" fillId="0" borderId="75" xfId="7" applyNumberFormat="1" applyFont="1" applyFill="1" applyBorder="1" applyAlignment="1">
      <alignment horizontal="center" vertical="center"/>
    </xf>
    <xf numFmtId="0" fontId="12" fillId="2" borderId="87" xfId="0" applyFont="1" applyFill="1" applyBorder="1" applyAlignment="1" applyProtection="1">
      <alignment horizontal="center" vertical="center"/>
      <protection locked="0" hidden="1"/>
    </xf>
    <xf numFmtId="177" fontId="4" fillId="2" borderId="88" xfId="2" applyNumberFormat="1" applyFont="1" applyFill="1" applyBorder="1" applyAlignment="1" applyProtection="1">
      <alignment horizontal="center" vertical="center"/>
    </xf>
    <xf numFmtId="177" fontId="4" fillId="2" borderId="99" xfId="2" applyNumberFormat="1" applyFont="1" applyFill="1" applyBorder="1" applyAlignment="1" applyProtection="1">
      <alignment horizontal="center" vertical="center"/>
    </xf>
    <xf numFmtId="177" fontId="4" fillId="2" borderId="100" xfId="2" applyNumberFormat="1" applyFont="1" applyFill="1" applyBorder="1" applyAlignment="1" applyProtection="1">
      <alignment horizontal="center" vertical="center"/>
    </xf>
    <xf numFmtId="177" fontId="4" fillId="2" borderId="92" xfId="2" applyNumberFormat="1" applyFont="1" applyFill="1" applyBorder="1" applyAlignment="1" applyProtection="1">
      <alignment horizontal="center" vertical="center"/>
    </xf>
    <xf numFmtId="177" fontId="4" fillId="2" borderId="92" xfId="6" applyNumberFormat="1" applyFont="1" applyFill="1" applyBorder="1" applyAlignment="1">
      <alignment horizontal="center" vertical="center"/>
    </xf>
    <xf numFmtId="177" fontId="4" fillId="2" borderId="90" xfId="1" applyNumberFormat="1" applyFont="1" applyFill="1" applyBorder="1" applyAlignment="1" applyProtection="1">
      <alignment horizontal="center" vertical="center"/>
    </xf>
    <xf numFmtId="9" fontId="4" fillId="2" borderId="90" xfId="6" applyNumberFormat="1" applyFont="1" applyFill="1" applyBorder="1" applyAlignment="1" applyProtection="1">
      <alignment horizontal="center" vertical="center"/>
    </xf>
    <xf numFmtId="178" fontId="0" fillId="2" borderId="93" xfId="7" applyNumberFormat="1" applyFont="1" applyFill="1" applyBorder="1" applyAlignment="1">
      <alignment horizontal="center" vertical="center"/>
    </xf>
    <xf numFmtId="176" fontId="4" fillId="0" borderId="0" xfId="7" applyNumberFormat="1" applyFont="1" applyFill="1" applyAlignment="1">
      <alignment horizontal="left"/>
    </xf>
    <xf numFmtId="176" fontId="4" fillId="0" borderId="0" xfId="7" applyNumberFormat="1" applyFont="1" applyFill="1" applyAlignment="1" applyProtection="1">
      <alignment horizontal="center" vertical="center"/>
    </xf>
    <xf numFmtId="176" fontId="4" fillId="0" borderId="0" xfId="7" applyNumberFormat="1" applyFont="1" applyFill="1" applyAlignment="1" applyProtection="1">
      <alignment horizontal="left"/>
    </xf>
    <xf numFmtId="176" fontId="4" fillId="0" borderId="0" xfId="7" applyNumberFormat="1" applyFont="1" applyFill="1" applyAlignment="1">
      <alignment horizontal="center" vertical="center"/>
    </xf>
    <xf numFmtId="176" fontId="4" fillId="0" borderId="0" xfId="7" applyNumberFormat="1" applyFont="1" applyFill="1"/>
    <xf numFmtId="10" fontId="4" fillId="0" borderId="0" xfId="2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43" fontId="4" fillId="2" borderId="20" xfId="1" applyFont="1" applyFill="1" applyBorder="1" applyAlignment="1">
      <alignment horizontal="center" vertical="center" wrapText="1"/>
    </xf>
    <xf numFmtId="176" fontId="4" fillId="0" borderId="29" xfId="0" applyNumberFormat="1" applyFont="1" applyFill="1" applyBorder="1" applyAlignment="1" applyProtection="1">
      <alignment horizontal="left"/>
      <protection locked="0"/>
    </xf>
    <xf numFmtId="176" fontId="4" fillId="0" borderId="59" xfId="0" applyNumberFormat="1" applyFont="1" applyFill="1" applyBorder="1" applyAlignment="1" applyProtection="1">
      <protection locked="0"/>
    </xf>
    <xf numFmtId="9" fontId="4" fillId="0" borderId="60" xfId="0" applyNumberFormat="1" applyFont="1" applyFill="1" applyBorder="1" applyAlignment="1" applyProtection="1">
      <alignment horizontal="center"/>
      <protection locked="0"/>
    </xf>
    <xf numFmtId="184" fontId="4" fillId="0" borderId="56" xfId="0" applyNumberFormat="1" applyFont="1" applyFill="1" applyBorder="1" applyAlignment="1">
      <alignment horizontal="center" vertical="center"/>
    </xf>
    <xf numFmtId="184" fontId="4" fillId="0" borderId="59" xfId="0" applyNumberFormat="1" applyFont="1" applyFill="1" applyBorder="1" applyAlignment="1" applyProtection="1">
      <alignment horizontal="center" vertical="center"/>
      <protection locked="0"/>
    </xf>
    <xf numFmtId="184" fontId="4" fillId="0" borderId="57" xfId="0" applyNumberFormat="1" applyFont="1" applyFill="1" applyBorder="1" applyAlignment="1" applyProtection="1">
      <alignment horizontal="center" vertical="center"/>
      <protection locked="0"/>
    </xf>
    <xf numFmtId="184" fontId="4" fillId="0" borderId="58" xfId="0" applyNumberFormat="1" applyFont="1" applyFill="1" applyBorder="1" applyAlignment="1">
      <alignment horizontal="center" vertical="center"/>
    </xf>
    <xf numFmtId="184" fontId="4" fillId="0" borderId="60" xfId="0" applyNumberFormat="1" applyFont="1" applyFill="1" applyBorder="1" applyAlignment="1" applyProtection="1">
      <alignment horizontal="center" vertical="center"/>
      <protection locked="0"/>
    </xf>
    <xf numFmtId="184" fontId="4" fillId="0" borderId="59" xfId="0" applyNumberFormat="1" applyFont="1" applyFill="1" applyBorder="1" applyAlignment="1" applyProtection="1">
      <protection locked="0"/>
    </xf>
    <xf numFmtId="184" fontId="4" fillId="0" borderId="60" xfId="0" applyNumberFormat="1" applyFont="1" applyFill="1" applyBorder="1" applyAlignment="1" applyProtection="1">
      <protection locked="0"/>
    </xf>
    <xf numFmtId="43" fontId="4" fillId="0" borderId="56" xfId="1" applyFont="1" applyFill="1" applyBorder="1" applyAlignment="1">
      <alignment horizontal="center" vertical="center"/>
    </xf>
    <xf numFmtId="176" fontId="4" fillId="0" borderId="61" xfId="0" applyNumberFormat="1" applyFont="1" applyFill="1" applyBorder="1" applyAlignment="1"/>
    <xf numFmtId="0" fontId="4" fillId="0" borderId="0" xfId="0" applyFont="1" applyFill="1" applyAlignment="1"/>
    <xf numFmtId="176" fontId="4" fillId="0" borderId="34" xfId="0" applyNumberFormat="1" applyFont="1" applyFill="1" applyBorder="1" applyAlignment="1" applyProtection="1">
      <alignment horizontal="left"/>
      <protection locked="0"/>
    </xf>
    <xf numFmtId="176" fontId="4" fillId="0" borderId="65" xfId="0" applyNumberFormat="1" applyFont="1" applyFill="1" applyBorder="1" applyAlignment="1" applyProtection="1">
      <alignment horizontal="left"/>
      <protection locked="0"/>
    </xf>
    <xf numFmtId="9" fontId="4" fillId="0" borderId="66" xfId="0" applyNumberFormat="1" applyFont="1" applyFill="1" applyBorder="1" applyAlignment="1" applyProtection="1">
      <alignment horizontal="center"/>
      <protection locked="0"/>
    </xf>
    <xf numFmtId="184" fontId="4" fillId="0" borderId="65" xfId="0" applyNumberFormat="1" applyFont="1" applyFill="1" applyBorder="1" applyAlignment="1" applyProtection="1">
      <alignment horizontal="center" vertical="center"/>
      <protection locked="0"/>
    </xf>
    <xf numFmtId="184" fontId="4" fillId="0" borderId="64" xfId="0" applyNumberFormat="1" applyFont="1" applyFill="1" applyBorder="1" applyAlignment="1" applyProtection="1">
      <alignment horizontal="center" vertical="center"/>
      <protection locked="0"/>
    </xf>
    <xf numFmtId="184" fontId="4" fillId="0" borderId="66" xfId="0" applyNumberFormat="1" applyFont="1" applyFill="1" applyBorder="1" applyAlignment="1" applyProtection="1">
      <alignment horizontal="center" vertical="center"/>
      <protection locked="0"/>
    </xf>
    <xf numFmtId="184" fontId="4" fillId="0" borderId="65" xfId="0" applyNumberFormat="1" applyFont="1" applyFill="1" applyBorder="1" applyAlignment="1" applyProtection="1">
      <protection locked="0"/>
    </xf>
    <xf numFmtId="184" fontId="4" fillId="0" borderId="66" xfId="0" applyNumberFormat="1" applyFont="1" applyFill="1" applyBorder="1" applyAlignment="1" applyProtection="1">
      <protection locked="0"/>
    </xf>
    <xf numFmtId="176" fontId="4" fillId="0" borderId="67" xfId="0" applyNumberFormat="1" applyFont="1" applyFill="1" applyBorder="1" applyAlignment="1"/>
    <xf numFmtId="176" fontId="4" fillId="0" borderId="65" xfId="0" applyNumberFormat="1" applyFont="1" applyFill="1" applyBorder="1" applyAlignment="1" applyProtection="1">
      <protection locked="0"/>
    </xf>
    <xf numFmtId="183" fontId="4" fillId="0" borderId="66" xfId="0" applyNumberFormat="1" applyFont="1" applyFill="1" applyBorder="1" applyAlignment="1" applyProtection="1">
      <alignment horizontal="center"/>
      <protection locked="0"/>
    </xf>
    <xf numFmtId="184" fontId="4" fillId="2" borderId="103" xfId="0" applyNumberFormat="1" applyFont="1" applyFill="1" applyBorder="1" applyAlignment="1">
      <alignment horizontal="center" vertical="center"/>
    </xf>
    <xf numFmtId="43" fontId="5" fillId="2" borderId="90" xfId="1" applyFont="1" applyFill="1" applyBorder="1" applyAlignment="1">
      <alignment horizontal="center" vertical="center"/>
    </xf>
    <xf numFmtId="43" fontId="5" fillId="2" borderId="91" xfId="1" applyFont="1" applyFill="1" applyBorder="1" applyAlignment="1">
      <alignment horizontal="center" vertical="center"/>
    </xf>
    <xf numFmtId="184" fontId="4" fillId="2" borderId="104" xfId="0" applyNumberFormat="1" applyFont="1" applyFill="1" applyBorder="1" applyAlignment="1">
      <alignment horizontal="center" vertical="center"/>
    </xf>
    <xf numFmtId="43" fontId="5" fillId="2" borderId="92" xfId="1" applyFont="1" applyFill="1" applyBorder="1" applyAlignment="1">
      <alignment horizontal="center" vertical="center"/>
    </xf>
    <xf numFmtId="176" fontId="5" fillId="2" borderId="93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5" fillId="0" borderId="29" xfId="0" applyNumberFormat="1" applyFont="1" applyFill="1" applyBorder="1" applyAlignment="1">
      <alignment horizontal="left" vertical="center"/>
    </xf>
    <xf numFmtId="177" fontId="11" fillId="0" borderId="59" xfId="0" applyNumberFormat="1" applyFont="1" applyFill="1" applyBorder="1" applyAlignment="1"/>
    <xf numFmtId="177" fontId="11" fillId="0" borderId="60" xfId="0" applyNumberFormat="1" applyFont="1" applyFill="1" applyBorder="1" applyAlignment="1"/>
    <xf numFmtId="177" fontId="4" fillId="0" borderId="56" xfId="0" applyNumberFormat="1" applyFont="1" applyFill="1" applyBorder="1" applyAlignment="1">
      <alignment horizontal="center"/>
    </xf>
    <xf numFmtId="177" fontId="4" fillId="0" borderId="59" xfId="0" applyNumberFormat="1" applyFont="1" applyFill="1" applyBorder="1" applyAlignment="1">
      <alignment horizontal="center"/>
    </xf>
    <xf numFmtId="177" fontId="4" fillId="0" borderId="57" xfId="0" applyNumberFormat="1" applyFont="1" applyFill="1" applyBorder="1" applyAlignment="1">
      <alignment horizontal="center"/>
    </xf>
    <xf numFmtId="177" fontId="4" fillId="0" borderId="58" xfId="0" applyNumberFormat="1" applyFont="1" applyFill="1" applyBorder="1" applyAlignment="1">
      <alignment horizontal="center" vertical="center"/>
    </xf>
    <xf numFmtId="177" fontId="4" fillId="0" borderId="59" xfId="0" applyNumberFormat="1" applyFont="1" applyFill="1" applyBorder="1" applyAlignment="1">
      <alignment horizontal="center" vertical="center"/>
    </xf>
    <xf numFmtId="177" fontId="4" fillId="0" borderId="60" xfId="0" applyNumberFormat="1" applyFont="1" applyFill="1" applyBorder="1" applyAlignment="1">
      <alignment horizontal="center" vertical="center"/>
    </xf>
    <xf numFmtId="177" fontId="4" fillId="0" borderId="56" xfId="0" applyNumberFormat="1" applyFont="1" applyFill="1" applyBorder="1" applyAlignment="1">
      <alignment horizontal="center" vertical="center"/>
    </xf>
    <xf numFmtId="176" fontId="11" fillId="0" borderId="61" xfId="0" applyNumberFormat="1" applyFont="1" applyFill="1" applyBorder="1" applyAlignment="1"/>
    <xf numFmtId="176" fontId="4" fillId="0" borderId="34" xfId="0" applyNumberFormat="1" applyFont="1" applyFill="1" applyBorder="1" applyAlignment="1">
      <alignment horizontal="left" vertical="center"/>
    </xf>
    <xf numFmtId="177" fontId="11" fillId="0" borderId="65" xfId="0" applyNumberFormat="1" applyFont="1" applyFill="1" applyBorder="1" applyAlignment="1"/>
    <xf numFmtId="177" fontId="11" fillId="0" borderId="66" xfId="0" applyNumberFormat="1" applyFont="1" applyFill="1" applyBorder="1" applyAlignment="1"/>
    <xf numFmtId="177" fontId="4" fillId="0" borderId="65" xfId="0" applyNumberFormat="1" applyFont="1" applyFill="1" applyBorder="1" applyAlignment="1">
      <alignment horizontal="center"/>
    </xf>
    <xf numFmtId="177" fontId="4" fillId="0" borderId="64" xfId="0" applyNumberFormat="1" applyFont="1" applyFill="1" applyBorder="1" applyAlignment="1">
      <alignment horizontal="center"/>
    </xf>
    <xf numFmtId="177" fontId="4" fillId="0" borderId="65" xfId="0" applyNumberFormat="1" applyFont="1" applyFill="1" applyBorder="1" applyAlignment="1">
      <alignment horizontal="center" vertical="center"/>
    </xf>
    <xf numFmtId="177" fontId="4" fillId="0" borderId="66" xfId="0" applyNumberFormat="1" applyFont="1" applyFill="1" applyBorder="1" applyAlignment="1">
      <alignment horizontal="center" vertical="center"/>
    </xf>
    <xf numFmtId="176" fontId="11" fillId="0" borderId="67" xfId="0" applyNumberFormat="1" applyFont="1" applyFill="1" applyBorder="1" applyAlignment="1"/>
    <xf numFmtId="176" fontId="4" fillId="0" borderId="34" xfId="0" applyNumberFormat="1" applyFont="1" applyFill="1" applyBorder="1" applyAlignment="1">
      <alignment horizontal="left" vertical="center" indent="1"/>
    </xf>
    <xf numFmtId="176" fontId="4" fillId="0" borderId="36" xfId="0" applyNumberFormat="1" applyFont="1" applyFill="1" applyBorder="1" applyAlignment="1">
      <alignment horizontal="left" vertical="center" indent="1"/>
    </xf>
    <xf numFmtId="177" fontId="11" fillId="0" borderId="71" xfId="0" applyNumberFormat="1" applyFont="1" applyFill="1" applyBorder="1" applyAlignment="1"/>
    <xf numFmtId="177" fontId="11" fillId="0" borderId="72" xfId="0" applyNumberFormat="1" applyFont="1" applyFill="1" applyBorder="1" applyAlignment="1"/>
    <xf numFmtId="177" fontId="4" fillId="0" borderId="71" xfId="0" applyNumberFormat="1" applyFont="1" applyFill="1" applyBorder="1" applyAlignment="1">
      <alignment horizontal="center"/>
    </xf>
    <xf numFmtId="177" fontId="4" fillId="0" borderId="74" xfId="0" applyNumberFormat="1" applyFont="1" applyFill="1" applyBorder="1" applyAlignment="1">
      <alignment horizontal="center"/>
    </xf>
    <xf numFmtId="177" fontId="4" fillId="0" borderId="71" xfId="0" applyNumberFormat="1" applyFont="1" applyFill="1" applyBorder="1" applyAlignment="1">
      <alignment horizontal="center" vertical="center"/>
    </xf>
    <xf numFmtId="177" fontId="4" fillId="0" borderId="72" xfId="0" applyNumberFormat="1" applyFont="1" applyFill="1" applyBorder="1" applyAlignment="1">
      <alignment horizontal="center" vertical="center"/>
    </xf>
    <xf numFmtId="176" fontId="11" fillId="0" borderId="75" xfId="0" applyNumberFormat="1" applyFont="1" applyFill="1" applyBorder="1" applyAlignment="1"/>
    <xf numFmtId="176" fontId="4" fillId="2" borderId="37" xfId="0" applyNumberFormat="1" applyFont="1" applyFill="1" applyBorder="1" applyAlignment="1">
      <alignment horizontal="center" vertical="center"/>
    </xf>
    <xf numFmtId="177" fontId="4" fillId="2" borderId="27" xfId="0" applyNumberFormat="1" applyFont="1" applyFill="1" applyBorder="1" applyAlignment="1">
      <alignment horizontal="center" vertical="center"/>
    </xf>
    <xf numFmtId="177" fontId="4" fillId="2" borderId="19" xfId="0" applyNumberFormat="1" applyFont="1" applyFill="1" applyBorder="1" applyAlignment="1">
      <alignment horizontal="center" vertical="center"/>
    </xf>
    <xf numFmtId="177" fontId="4" fillId="2" borderId="18" xfId="0" applyNumberFormat="1" applyFont="1" applyFill="1" applyBorder="1" applyAlignment="1">
      <alignment horizontal="center" vertical="center"/>
    </xf>
    <xf numFmtId="177" fontId="4" fillId="2" borderId="105" xfId="0" applyNumberFormat="1" applyFont="1" applyFill="1" applyBorder="1" applyAlignment="1">
      <alignment horizontal="center" vertical="center"/>
    </xf>
    <xf numFmtId="177" fontId="4" fillId="2" borderId="25" xfId="0" applyNumberFormat="1" applyFont="1" applyFill="1" applyBorder="1" applyAlignment="1">
      <alignment horizontal="center" vertical="center"/>
    </xf>
    <xf numFmtId="177" fontId="4" fillId="2" borderId="26" xfId="0" applyNumberFormat="1" applyFont="1" applyFill="1" applyBorder="1" applyAlignment="1">
      <alignment horizontal="center" vertical="center"/>
    </xf>
    <xf numFmtId="176" fontId="11" fillId="2" borderId="28" xfId="0" applyNumberFormat="1" applyFont="1" applyFill="1" applyBorder="1" applyAlignment="1">
      <alignment vertical="center"/>
    </xf>
    <xf numFmtId="177" fontId="11" fillId="0" borderId="56" xfId="0" applyNumberFormat="1" applyFont="1" applyFill="1" applyBorder="1" applyAlignment="1"/>
    <xf numFmtId="177" fontId="11" fillId="0" borderId="57" xfId="0" applyNumberFormat="1" applyFont="1" applyFill="1" applyBorder="1" applyAlignment="1"/>
    <xf numFmtId="177" fontId="11" fillId="0" borderId="58" xfId="0" applyNumberFormat="1" applyFont="1" applyFill="1" applyBorder="1" applyAlignment="1"/>
    <xf numFmtId="177" fontId="4" fillId="0" borderId="65" xfId="0" applyNumberFormat="1" applyFont="1" applyFill="1" applyBorder="1" applyAlignment="1"/>
    <xf numFmtId="177" fontId="4" fillId="0" borderId="66" xfId="0" applyNumberFormat="1" applyFont="1" applyFill="1" applyBorder="1" applyAlignment="1"/>
    <xf numFmtId="177" fontId="11" fillId="0" borderId="63" xfId="0" applyNumberFormat="1" applyFont="1" applyFill="1" applyBorder="1" applyAlignment="1"/>
    <xf numFmtId="177" fontId="11" fillId="0" borderId="64" xfId="0" applyNumberFormat="1" applyFont="1" applyFill="1" applyBorder="1" applyAlignment="1"/>
    <xf numFmtId="177" fontId="11" fillId="0" borderId="83" xfId="0" applyNumberFormat="1" applyFont="1" applyFill="1" applyBorder="1" applyAlignment="1"/>
    <xf numFmtId="177" fontId="4" fillId="0" borderId="71" xfId="0" applyNumberFormat="1" applyFont="1" applyFill="1" applyBorder="1" applyAlignment="1"/>
    <xf numFmtId="177" fontId="4" fillId="0" borderId="72" xfId="0" applyNumberFormat="1" applyFont="1" applyFill="1" applyBorder="1" applyAlignment="1"/>
    <xf numFmtId="177" fontId="11" fillId="0" borderId="69" xfId="0" applyNumberFormat="1" applyFont="1" applyFill="1" applyBorder="1" applyAlignment="1"/>
    <xf numFmtId="177" fontId="11" fillId="0" borderId="74" xfId="0" applyNumberFormat="1" applyFont="1" applyFill="1" applyBorder="1" applyAlignment="1"/>
    <xf numFmtId="177" fontId="11" fillId="0" borderId="97" xfId="0" applyNumberFormat="1" applyFont="1" applyFill="1" applyBorder="1" applyAlignment="1"/>
    <xf numFmtId="177" fontId="4" fillId="2" borderId="70" xfId="0" applyNumberFormat="1" applyFont="1" applyFill="1" applyBorder="1" applyAlignment="1">
      <alignment horizontal="center" vertical="center"/>
    </xf>
    <xf numFmtId="177" fontId="4" fillId="2" borderId="106" xfId="0" applyNumberFormat="1" applyFont="1" applyFill="1" applyBorder="1" applyAlignment="1">
      <alignment horizontal="center" vertical="center"/>
    </xf>
    <xf numFmtId="176" fontId="11" fillId="2" borderId="28" xfId="0" applyNumberFormat="1" applyFont="1" applyFill="1" applyBorder="1" applyAlignment="1"/>
    <xf numFmtId="177" fontId="4" fillId="0" borderId="107" xfId="0" applyNumberFormat="1" applyFont="1" applyFill="1" applyBorder="1" applyAlignment="1">
      <alignment horizontal="center" vertical="center"/>
    </xf>
    <xf numFmtId="177" fontId="4" fillId="0" borderId="108" xfId="0" applyNumberFormat="1" applyFont="1" applyFill="1" applyBorder="1" applyAlignment="1">
      <alignment horizontal="center" vertical="center"/>
    </xf>
    <xf numFmtId="177" fontId="4" fillId="0" borderId="109" xfId="0" applyNumberFormat="1" applyFont="1" applyFill="1" applyBorder="1" applyAlignment="1">
      <alignment horizontal="center" vertical="center"/>
    </xf>
    <xf numFmtId="177" fontId="4" fillId="0" borderId="104" xfId="0" applyNumberFormat="1" applyFont="1" applyFill="1" applyBorder="1" applyAlignment="1">
      <alignment horizontal="center" vertical="center"/>
    </xf>
    <xf numFmtId="177" fontId="4" fillId="0" borderId="103" xfId="0" applyNumberFormat="1" applyFont="1" applyFill="1" applyBorder="1" applyAlignment="1">
      <alignment horizontal="center" vertical="center"/>
    </xf>
    <xf numFmtId="176" fontId="11" fillId="0" borderId="110" xfId="0" applyNumberFormat="1" applyFont="1" applyFill="1" applyBorder="1" applyAlignment="1">
      <alignment horizontal="center" vertical="center"/>
    </xf>
    <xf numFmtId="176" fontId="4" fillId="0" borderId="0" xfId="0" applyNumberFormat="1" applyFont="1" applyFill="1" applyAlignment="1">
      <alignment horizontal="left"/>
    </xf>
    <xf numFmtId="176" fontId="11" fillId="0" borderId="0" xfId="0" applyNumberFormat="1" applyFont="1" applyFill="1" applyAlignment="1"/>
    <xf numFmtId="176" fontId="0" fillId="0" borderId="0" xfId="0" applyNumberFormat="1" applyFont="1" applyFill="1" applyAlignment="1"/>
    <xf numFmtId="176" fontId="16" fillId="0" borderId="0" xfId="0" applyNumberFormat="1" applyFont="1" applyFill="1" applyAlignment="1">
      <alignment horizontal="right"/>
    </xf>
    <xf numFmtId="176" fontId="4" fillId="0" borderId="0" xfId="0" applyNumberFormat="1" applyFont="1" applyFill="1" applyAlignment="1">
      <alignment horizontal="left" vertical="center"/>
    </xf>
    <xf numFmtId="176" fontId="4" fillId="0" borderId="0" xfId="0" applyNumberFormat="1" applyFont="1" applyFill="1" applyBorder="1" applyAlignment="1">
      <alignment horizontal="left" vertical="center"/>
    </xf>
    <xf numFmtId="176" fontId="2" fillId="0" borderId="0" xfId="0" applyNumberFormat="1" applyFont="1" applyAlignment="1"/>
    <xf numFmtId="176" fontId="4" fillId="0" borderId="0" xfId="0" applyNumberFormat="1" applyFont="1" applyAlignment="1">
      <alignment vertical="center"/>
    </xf>
    <xf numFmtId="176" fontId="4" fillId="0" borderId="29" xfId="0" applyNumberFormat="1" applyFont="1" applyFill="1" applyBorder="1" applyAlignment="1"/>
    <xf numFmtId="176" fontId="4" fillId="0" borderId="59" xfId="0" applyNumberFormat="1" applyFont="1" applyFill="1" applyBorder="1" applyAlignment="1"/>
    <xf numFmtId="177" fontId="4" fillId="0" borderId="59" xfId="0" applyNumberFormat="1" applyFont="1" applyFill="1" applyBorder="1" applyAlignment="1"/>
    <xf numFmtId="177" fontId="4" fillId="0" borderId="60" xfId="0" applyNumberFormat="1" applyFont="1" applyFill="1" applyBorder="1" applyAlignment="1"/>
    <xf numFmtId="177" fontId="4" fillId="0" borderId="57" xfId="0" applyNumberFormat="1" applyFont="1" applyFill="1" applyBorder="1" applyAlignment="1"/>
    <xf numFmtId="177" fontId="4" fillId="0" borderId="58" xfId="0" applyNumberFormat="1" applyFont="1" applyFill="1" applyBorder="1" applyAlignment="1">
      <alignment horizontal="center"/>
    </xf>
    <xf numFmtId="176" fontId="4" fillId="0" borderId="0" xfId="0" applyNumberFormat="1" applyFont="1" applyAlignment="1"/>
    <xf numFmtId="176" fontId="4" fillId="0" borderId="34" xfId="0" applyNumberFormat="1" applyFont="1" applyFill="1" applyBorder="1" applyAlignment="1"/>
    <xf numFmtId="176" fontId="4" fillId="0" borderId="65" xfId="0" applyNumberFormat="1" applyFont="1" applyFill="1" applyBorder="1" applyAlignment="1"/>
    <xf numFmtId="177" fontId="4" fillId="0" borderId="64" xfId="0" applyNumberFormat="1" applyFont="1" applyFill="1" applyBorder="1" applyAlignment="1"/>
    <xf numFmtId="176" fontId="4" fillId="0" borderId="36" xfId="0" applyNumberFormat="1" applyFont="1" applyFill="1" applyBorder="1" applyAlignment="1"/>
    <xf numFmtId="176" fontId="4" fillId="0" borderId="71" xfId="0" applyNumberFormat="1" applyFont="1" applyFill="1" applyBorder="1" applyAlignment="1"/>
    <xf numFmtId="177" fontId="4" fillId="0" borderId="74" xfId="0" applyNumberFormat="1" applyFont="1" applyFill="1" applyBorder="1" applyAlignment="1"/>
    <xf numFmtId="176" fontId="4" fillId="0" borderId="75" xfId="0" applyNumberFormat="1" applyFont="1" applyFill="1" applyBorder="1" applyAlignment="1"/>
    <xf numFmtId="176" fontId="4" fillId="2" borderId="37" xfId="0" applyNumberFormat="1" applyFont="1" applyFill="1" applyBorder="1" applyAlignment="1">
      <alignment horizontal="center"/>
    </xf>
    <xf numFmtId="176" fontId="4" fillId="2" borderId="27" xfId="0" applyNumberFormat="1" applyFont="1" applyFill="1" applyBorder="1" applyAlignment="1">
      <alignment horizontal="center" vertical="center"/>
    </xf>
    <xf numFmtId="177" fontId="4" fillId="2" borderId="73" xfId="0" applyNumberFormat="1" applyFont="1" applyFill="1" applyBorder="1" applyAlignment="1">
      <alignment horizontal="center" vertical="center"/>
    </xf>
    <xf numFmtId="177" fontId="4" fillId="2" borderId="96" xfId="0" applyNumberFormat="1" applyFont="1" applyFill="1" applyBorder="1" applyAlignment="1">
      <alignment horizontal="center"/>
    </xf>
    <xf numFmtId="177" fontId="4" fillId="2" borderId="73" xfId="0" applyNumberFormat="1" applyFont="1" applyFill="1" applyBorder="1" applyAlignment="1">
      <alignment horizontal="center"/>
    </xf>
    <xf numFmtId="176" fontId="4" fillId="2" borderId="28" xfId="0" applyNumberFormat="1" applyFont="1" applyFill="1" applyBorder="1" applyAlignment="1"/>
    <xf numFmtId="177" fontId="4" fillId="2" borderId="96" xfId="0" applyNumberFormat="1" applyFont="1" applyFill="1" applyBorder="1" applyAlignment="1">
      <alignment horizontal="center" vertical="center"/>
    </xf>
    <xf numFmtId="176" fontId="4" fillId="2" borderId="28" xfId="0" applyNumberFormat="1" applyFont="1" applyFill="1" applyBorder="1" applyAlignment="1">
      <alignment vertical="center"/>
    </xf>
    <xf numFmtId="176" fontId="4" fillId="0" borderId="107" xfId="0" applyNumberFormat="1" applyFont="1" applyFill="1" applyBorder="1" applyAlignment="1">
      <alignment horizontal="center" vertical="center"/>
    </xf>
    <xf numFmtId="177" fontId="4" fillId="0" borderId="103" xfId="0" applyNumberFormat="1" applyFont="1" applyFill="1" applyBorder="1" applyAlignment="1">
      <alignment horizontal="center"/>
    </xf>
    <xf numFmtId="176" fontId="4" fillId="0" borderId="110" xfId="0" applyNumberFormat="1" applyFont="1" applyFill="1" applyBorder="1" applyAlignment="1">
      <alignment vertical="center"/>
    </xf>
    <xf numFmtId="176" fontId="0" fillId="0" borderId="0" xfId="0" applyNumberFormat="1" applyFont="1" applyAlignment="1"/>
    <xf numFmtId="176" fontId="17" fillId="0" borderId="0" xfId="0" applyNumberFormat="1" applyFont="1" applyAlignment="1"/>
    <xf numFmtId="176" fontId="0" fillId="0" borderId="0" xfId="0" applyNumberFormat="1" applyFont="1" applyAlignment="1">
      <alignment vertical="center" wrapText="1"/>
    </xf>
    <xf numFmtId="176" fontId="4" fillId="0" borderId="29" xfId="0" applyNumberFormat="1" applyFont="1" applyFill="1" applyBorder="1" applyAlignment="1">
      <alignment horizontal="left" vertical="center"/>
    </xf>
    <xf numFmtId="177" fontId="4" fillId="0" borderId="60" xfId="0" applyNumberFormat="1" applyFont="1" applyFill="1" applyBorder="1" applyAlignment="1">
      <alignment horizontal="center"/>
    </xf>
    <xf numFmtId="177" fontId="4" fillId="0" borderId="66" xfId="0" applyNumberFormat="1" applyFont="1" applyFill="1" applyBorder="1" applyAlignment="1">
      <alignment horizontal="right"/>
    </xf>
    <xf numFmtId="176" fontId="9" fillId="2" borderId="37" xfId="0" applyNumberFormat="1" applyFont="1" applyFill="1" applyBorder="1" applyAlignment="1">
      <alignment horizontal="center" vertical="center"/>
    </xf>
    <xf numFmtId="176" fontId="5" fillId="2" borderId="27" xfId="0" applyNumberFormat="1" applyFont="1" applyFill="1" applyBorder="1" applyAlignment="1"/>
    <xf numFmtId="176" fontId="5" fillId="2" borderId="28" xfId="0" applyNumberFormat="1" applyFont="1" applyFill="1" applyBorder="1" applyAlignment="1"/>
    <xf numFmtId="177" fontId="4" fillId="0" borderId="66" xfId="0" applyNumberFormat="1" applyFont="1" applyFill="1" applyBorder="1" applyAlignment="1">
      <alignment horizontal="left"/>
    </xf>
    <xf numFmtId="177" fontId="4" fillId="2" borderId="86" xfId="0" applyNumberFormat="1" applyFont="1" applyFill="1" applyBorder="1" applyAlignment="1">
      <alignment horizontal="center"/>
    </xf>
    <xf numFmtId="176" fontId="5" fillId="2" borderId="27" xfId="0" applyNumberFormat="1" applyFont="1" applyFill="1" applyBorder="1" applyAlignment="1">
      <alignment horizontal="right"/>
    </xf>
    <xf numFmtId="177" fontId="4" fillId="0" borderId="77" xfId="0" applyNumberFormat="1" applyFont="1" applyFill="1" applyBorder="1" applyAlignment="1">
      <alignment horizontal="center"/>
    </xf>
    <xf numFmtId="177" fontId="4" fillId="0" borderId="56" xfId="0" applyNumberFormat="1" applyFont="1" applyFill="1" applyBorder="1" applyAlignment="1"/>
    <xf numFmtId="177" fontId="4" fillId="0" borderId="58" xfId="0" applyNumberFormat="1" applyFont="1" applyFill="1" applyBorder="1" applyAlignment="1"/>
    <xf numFmtId="177" fontId="4" fillId="0" borderId="63" xfId="0" applyNumberFormat="1" applyFont="1" applyFill="1" applyBorder="1" applyAlignment="1">
      <alignment horizontal="right"/>
    </xf>
    <xf numFmtId="177" fontId="4" fillId="0" borderId="83" xfId="0" applyNumberFormat="1" applyFont="1" applyFill="1" applyBorder="1" applyAlignment="1">
      <alignment horizontal="right"/>
    </xf>
    <xf numFmtId="177" fontId="4" fillId="0" borderId="65" xfId="0" applyNumberFormat="1" applyFont="1" applyFill="1" applyBorder="1" applyAlignment="1">
      <alignment horizontal="right"/>
    </xf>
    <xf numFmtId="177" fontId="4" fillId="0" borderId="64" xfId="0" applyNumberFormat="1" applyFont="1" applyFill="1" applyBorder="1" applyAlignment="1">
      <alignment horizontal="right"/>
    </xf>
    <xf numFmtId="176" fontId="5" fillId="0" borderId="107" xfId="0" applyNumberFormat="1" applyFont="1" applyFill="1" applyBorder="1" applyAlignment="1">
      <alignment horizontal="right"/>
    </xf>
    <xf numFmtId="176" fontId="4" fillId="0" borderId="110" xfId="0" applyNumberFormat="1" applyFont="1" applyFill="1" applyBorder="1" applyAlignment="1"/>
    <xf numFmtId="176" fontId="4" fillId="0" borderId="0" xfId="0" applyNumberFormat="1" applyFont="1" applyAlignment="1">
      <alignment horizontal="left"/>
    </xf>
    <xf numFmtId="176" fontId="4" fillId="0" borderId="0" xfId="0" applyNumberFormat="1" applyFont="1" applyAlignment="1">
      <alignment horizontal="left" vertical="center"/>
    </xf>
    <xf numFmtId="176" fontId="0" fillId="0" borderId="0" xfId="0" applyNumberFormat="1" applyFont="1" applyAlignment="1">
      <alignment vertical="center"/>
    </xf>
    <xf numFmtId="0" fontId="4" fillId="0" borderId="0" xfId="0" applyFont="1" applyAlignment="1">
      <alignment horizontal="left" vertical="center"/>
    </xf>
    <xf numFmtId="176" fontId="4" fillId="0" borderId="60" xfId="0" applyNumberFormat="1" applyFont="1" applyFill="1" applyBorder="1" applyAlignment="1">
      <alignment horizontal="left" vertical="center"/>
    </xf>
    <xf numFmtId="177" fontId="4" fillId="0" borderId="57" xfId="0" applyNumberFormat="1" applyFont="1" applyFill="1" applyBorder="1" applyAlignment="1">
      <alignment horizontal="center" vertical="center"/>
    </xf>
    <xf numFmtId="9" fontId="4" fillId="0" borderId="59" xfId="2" applyFont="1" applyFill="1" applyBorder="1" applyAlignment="1">
      <alignment horizontal="center" vertical="center"/>
    </xf>
    <xf numFmtId="176" fontId="4" fillId="0" borderId="66" xfId="0" applyNumberFormat="1" applyFont="1" applyFill="1" applyBorder="1" applyAlignment="1">
      <alignment horizontal="left" vertical="center"/>
    </xf>
    <xf numFmtId="177" fontId="4" fillId="0" borderId="64" xfId="0" applyNumberFormat="1" applyFont="1" applyFill="1" applyBorder="1" applyAlignment="1">
      <alignment horizontal="center" vertical="center"/>
    </xf>
    <xf numFmtId="176" fontId="4" fillId="0" borderId="67" xfId="0" applyNumberFormat="1" applyFont="1" applyFill="1" applyBorder="1" applyAlignment="1">
      <alignment horizontal="center" vertical="center"/>
    </xf>
    <xf numFmtId="176" fontId="5" fillId="2" borderId="89" xfId="0" applyNumberFormat="1" applyFont="1" applyFill="1" applyBorder="1" applyAlignment="1">
      <alignment horizontal="center" vertical="center"/>
    </xf>
    <xf numFmtId="177" fontId="4" fillId="2" borderId="103" xfId="0" applyNumberFormat="1" applyFont="1" applyFill="1" applyBorder="1" applyAlignment="1">
      <alignment horizontal="center" vertical="center"/>
    </xf>
    <xf numFmtId="177" fontId="4" fillId="2" borderId="104" xfId="0" applyNumberFormat="1" applyFont="1" applyFill="1" applyBorder="1" applyAlignment="1">
      <alignment horizontal="center" vertical="center"/>
    </xf>
    <xf numFmtId="177" fontId="5" fillId="2" borderId="90" xfId="0" applyNumberFormat="1" applyFont="1" applyFill="1" applyBorder="1" applyAlignment="1">
      <alignment horizontal="center" vertical="center"/>
    </xf>
    <xf numFmtId="177" fontId="4" fillId="2" borderId="107" xfId="0" applyNumberFormat="1" applyFont="1" applyFill="1" applyBorder="1" applyAlignment="1">
      <alignment horizontal="center" vertical="center"/>
    </xf>
    <xf numFmtId="9" fontId="4" fillId="2" borderId="107" xfId="2" applyFont="1" applyFill="1" applyBorder="1" applyAlignment="1">
      <alignment horizontal="center" vertical="center"/>
    </xf>
    <xf numFmtId="176" fontId="5" fillId="0" borderId="0" xfId="0" applyNumberFormat="1" applyFont="1" applyFill="1" applyBorder="1" applyAlignment="1">
      <alignment horizontal="center"/>
    </xf>
    <xf numFmtId="184" fontId="5" fillId="0" borderId="0" xfId="0" applyNumberFormat="1" applyFont="1" applyFill="1" applyBorder="1" applyAlignment="1">
      <alignment horizontal="right"/>
    </xf>
    <xf numFmtId="4" fontId="5" fillId="0" borderId="0" xfId="0" applyNumberFormat="1" applyFont="1" applyFill="1" applyBorder="1" applyAlignment="1">
      <alignment horizontal="right"/>
    </xf>
    <xf numFmtId="176" fontId="5" fillId="0" borderId="0" xfId="0" applyNumberFormat="1" applyFont="1" applyFill="1" applyBorder="1" applyAlignment="1"/>
    <xf numFmtId="176" fontId="4" fillId="0" borderId="0" xfId="0" applyNumberFormat="1" applyFont="1" applyFill="1" applyBorder="1" applyAlignment="1">
      <alignment horizontal="left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4" fillId="2" borderId="10" xfId="0" applyNumberFormat="1" applyFont="1" applyFill="1" applyBorder="1" applyAlignment="1">
      <alignment horizontal="center" vertical="center"/>
    </xf>
    <xf numFmtId="49" fontId="4" fillId="2" borderId="17" xfId="0" applyNumberFormat="1" applyFont="1" applyFill="1" applyBorder="1" applyAlignment="1">
      <alignment horizontal="center" vertical="center"/>
    </xf>
    <xf numFmtId="176" fontId="4" fillId="2" borderId="11" xfId="0" applyNumberFormat="1" applyFont="1" applyFill="1" applyBorder="1" applyAlignment="1">
      <alignment horizontal="center" vertical="center" wrapText="1"/>
    </xf>
    <xf numFmtId="176" fontId="4" fillId="2" borderId="18" xfId="0" applyNumberFormat="1" applyFont="1" applyFill="1" applyBorder="1" applyAlignment="1">
      <alignment horizontal="center" vertical="center" wrapText="1"/>
    </xf>
    <xf numFmtId="176" fontId="4" fillId="2" borderId="12" xfId="0" applyNumberFormat="1" applyFont="1" applyFill="1" applyBorder="1" applyAlignment="1">
      <alignment horizontal="center" vertical="center" wrapText="1"/>
    </xf>
    <xf numFmtId="176" fontId="4" fillId="2" borderId="19" xfId="0" applyNumberFormat="1" applyFont="1" applyFill="1" applyBorder="1" applyAlignment="1">
      <alignment horizontal="center" vertical="center" wrapText="1"/>
    </xf>
    <xf numFmtId="176" fontId="4" fillId="2" borderId="11" xfId="0" applyNumberFormat="1" applyFont="1" applyFill="1" applyBorder="1" applyAlignment="1">
      <alignment horizontal="center" vertical="center"/>
    </xf>
    <xf numFmtId="176" fontId="4" fillId="2" borderId="13" xfId="0" applyNumberFormat="1" applyFont="1" applyFill="1" applyBorder="1" applyAlignment="1">
      <alignment horizontal="center" vertical="center"/>
    </xf>
    <xf numFmtId="176" fontId="4" fillId="2" borderId="14" xfId="0" applyNumberFormat="1" applyFont="1" applyFill="1" applyBorder="1" applyAlignment="1">
      <alignment horizontal="center" vertical="center"/>
    </xf>
    <xf numFmtId="176" fontId="4" fillId="2" borderId="15" xfId="0" applyNumberFormat="1" applyFont="1" applyFill="1" applyBorder="1" applyAlignment="1">
      <alignment horizontal="center" vertical="center"/>
    </xf>
    <xf numFmtId="176" fontId="4" fillId="2" borderId="13" xfId="0" applyNumberFormat="1" applyFont="1" applyFill="1" applyBorder="1" applyAlignment="1">
      <alignment horizontal="center" vertical="center" wrapText="1"/>
    </xf>
    <xf numFmtId="176" fontId="4" fillId="2" borderId="27" xfId="0" applyNumberFormat="1" applyFont="1" applyFill="1" applyBorder="1" applyAlignment="1">
      <alignment horizontal="center" vertical="center" wrapText="1"/>
    </xf>
    <xf numFmtId="49" fontId="4" fillId="2" borderId="16" xfId="0" applyNumberFormat="1" applyFont="1" applyFill="1" applyBorder="1" applyAlignment="1">
      <alignment horizontal="center" vertical="center" wrapText="1"/>
    </xf>
    <xf numFmtId="49" fontId="4" fillId="2" borderId="28" xfId="0" applyNumberFormat="1" applyFont="1" applyFill="1" applyBorder="1" applyAlignment="1">
      <alignment horizontal="center" vertical="center" wrapText="1"/>
    </xf>
    <xf numFmtId="176" fontId="4" fillId="0" borderId="0" xfId="4" applyNumberFormat="1" applyFont="1" applyFill="1" applyBorder="1" applyAlignment="1" applyProtection="1">
      <alignment horizontal="left" vertical="center"/>
    </xf>
    <xf numFmtId="176" fontId="4" fillId="0" borderId="0" xfId="7" applyNumberFormat="1" applyFont="1" applyFill="1" applyAlignment="1">
      <alignment horizontal="left"/>
    </xf>
    <xf numFmtId="176" fontId="4" fillId="0" borderId="0" xfId="7" applyNumberFormat="1" applyFont="1" applyFill="1" applyAlignment="1">
      <alignment horizontal="center" vertical="center"/>
    </xf>
    <xf numFmtId="176" fontId="4" fillId="2" borderId="10" xfId="0" applyNumberFormat="1" applyFont="1" applyFill="1" applyBorder="1" applyAlignment="1" applyProtection="1">
      <alignment horizontal="center" vertical="center" wrapText="1"/>
    </xf>
    <xf numFmtId="176" fontId="4" fillId="2" borderId="17" xfId="0" applyNumberFormat="1" applyFont="1" applyFill="1" applyBorder="1" applyAlignment="1" applyProtection="1">
      <alignment horizontal="center" vertical="center" wrapText="1"/>
    </xf>
    <xf numFmtId="176" fontId="4" fillId="2" borderId="94" xfId="0" applyNumberFormat="1" applyFont="1" applyFill="1" applyBorder="1" applyAlignment="1" applyProtection="1">
      <alignment horizontal="center" vertical="center"/>
    </xf>
    <xf numFmtId="176" fontId="4" fillId="2" borderId="95" xfId="0" applyNumberFormat="1" applyFont="1" applyFill="1" applyBorder="1" applyAlignment="1" applyProtection="1">
      <alignment horizontal="center" vertical="center" wrapText="1"/>
    </xf>
    <xf numFmtId="176" fontId="4" fillId="2" borderId="96" xfId="0" applyNumberFormat="1" applyFont="1" applyFill="1" applyBorder="1" applyAlignment="1" applyProtection="1">
      <alignment horizontal="center" vertical="center" wrapText="1"/>
    </xf>
    <xf numFmtId="176" fontId="4" fillId="2" borderId="13" xfId="0" applyNumberFormat="1" applyFont="1" applyFill="1" applyBorder="1" applyAlignment="1" applyProtection="1">
      <alignment horizontal="center" vertical="center" wrapText="1"/>
    </xf>
    <xf numFmtId="176" fontId="4" fillId="2" borderId="27" xfId="0" applyNumberFormat="1" applyFont="1" applyFill="1" applyBorder="1" applyAlignment="1" applyProtection="1">
      <alignment horizontal="center" vertical="center" wrapText="1"/>
    </xf>
    <xf numFmtId="9" fontId="4" fillId="2" borderId="13" xfId="0" applyNumberFormat="1" applyFont="1" applyFill="1" applyBorder="1" applyAlignment="1" applyProtection="1">
      <alignment horizontal="center" vertical="center" wrapText="1"/>
    </xf>
    <xf numFmtId="9" fontId="4" fillId="2" borderId="27" xfId="0" applyNumberFormat="1" applyFont="1" applyFill="1" applyBorder="1" applyAlignment="1" applyProtection="1">
      <alignment horizontal="center" vertical="center" wrapText="1"/>
    </xf>
    <xf numFmtId="176" fontId="4" fillId="2" borderId="16" xfId="0" applyNumberFormat="1" applyFont="1" applyFill="1" applyBorder="1" applyAlignment="1">
      <alignment horizontal="center" vertical="center" wrapText="1"/>
    </xf>
    <xf numFmtId="176" fontId="4" fillId="2" borderId="28" xfId="0" applyNumberFormat="1" applyFont="1" applyFill="1" applyBorder="1" applyAlignment="1">
      <alignment horizontal="center" vertical="center" wrapText="1"/>
    </xf>
    <xf numFmtId="176" fontId="5" fillId="2" borderId="102" xfId="0" applyNumberFormat="1" applyFont="1" applyFill="1" applyBorder="1" applyAlignment="1">
      <alignment horizontal="center" vertical="center"/>
    </xf>
    <xf numFmtId="176" fontId="5" fillId="2" borderId="100" xfId="0" applyNumberFormat="1" applyFont="1" applyFill="1" applyBorder="1" applyAlignment="1">
      <alignment horizontal="center" vertical="center"/>
    </xf>
    <xf numFmtId="176" fontId="5" fillId="2" borderId="99" xfId="0" applyNumberFormat="1" applyFont="1" applyFill="1" applyBorder="1" applyAlignment="1">
      <alignment horizontal="center" vertical="center"/>
    </xf>
    <xf numFmtId="176" fontId="4" fillId="2" borderId="101" xfId="0" applyNumberFormat="1" applyFont="1" applyFill="1" applyBorder="1" applyAlignment="1">
      <alignment horizontal="center" vertical="center" wrapText="1"/>
    </xf>
    <xf numFmtId="176" fontId="4" fillId="2" borderId="37" xfId="0" applyNumberFormat="1" applyFont="1" applyFill="1" applyBorder="1" applyAlignment="1">
      <alignment horizontal="center" vertical="center" wrapText="1"/>
    </xf>
    <xf numFmtId="176" fontId="15" fillId="0" borderId="0" xfId="0" applyNumberFormat="1" applyFont="1" applyFill="1" applyAlignment="1">
      <alignment horizontal="center"/>
    </xf>
    <xf numFmtId="176" fontId="4" fillId="2" borderId="101" xfId="0" applyNumberFormat="1" applyFont="1" applyFill="1" applyBorder="1" applyAlignment="1">
      <alignment horizontal="center" vertical="center"/>
    </xf>
    <xf numFmtId="176" fontId="4" fillId="2" borderId="37" xfId="0" applyNumberFormat="1" applyFont="1" applyFill="1" applyBorder="1" applyAlignment="1">
      <alignment horizontal="center" vertical="center"/>
    </xf>
    <xf numFmtId="176" fontId="4" fillId="2" borderId="94" xfId="0" applyNumberFormat="1" applyFont="1" applyFill="1" applyBorder="1" applyAlignment="1">
      <alignment horizontal="center" vertical="center"/>
    </xf>
    <xf numFmtId="176" fontId="4" fillId="2" borderId="95" xfId="0" applyNumberFormat="1" applyFont="1" applyFill="1" applyBorder="1" applyAlignment="1">
      <alignment horizontal="center" vertical="center"/>
    </xf>
    <xf numFmtId="176" fontId="4" fillId="2" borderId="96" xfId="0" applyNumberFormat="1" applyFont="1" applyFill="1" applyBorder="1" applyAlignment="1">
      <alignment horizontal="center" vertical="center"/>
    </xf>
    <xf numFmtId="176" fontId="2" fillId="0" borderId="0" xfId="0" applyNumberFormat="1" applyFont="1" applyAlignment="1">
      <alignment horizontal="center"/>
    </xf>
    <xf numFmtId="176" fontId="4" fillId="2" borderId="111" xfId="0" applyNumberFormat="1" applyFont="1" applyFill="1" applyBorder="1" applyAlignment="1">
      <alignment horizontal="center" vertical="center"/>
    </xf>
    <xf numFmtId="176" fontId="4" fillId="2" borderId="26" xfId="0" applyNumberFormat="1" applyFont="1" applyFill="1" applyBorder="1" applyAlignment="1">
      <alignment horizontal="center" vertical="center"/>
    </xf>
    <xf numFmtId="176" fontId="5" fillId="0" borderId="0" xfId="0" applyNumberFormat="1" applyFont="1" applyBorder="1" applyAlignment="1">
      <alignment horizontal="right"/>
    </xf>
    <xf numFmtId="176" fontId="2" fillId="0" borderId="0" xfId="0" applyNumberFormat="1" applyFont="1" applyBorder="1" applyAlignment="1">
      <alignment horizontal="center" vertical="center"/>
    </xf>
    <xf numFmtId="176" fontId="2" fillId="0" borderId="0" xfId="0" applyNumberFormat="1" applyFont="1" applyBorder="1" applyAlignment="1">
      <alignment horizontal="center"/>
    </xf>
    <xf numFmtId="176" fontId="4" fillId="2" borderId="94" xfId="0" applyNumberFormat="1" applyFont="1" applyFill="1" applyBorder="1" applyAlignment="1">
      <alignment horizontal="center" vertical="center" wrapText="1"/>
    </xf>
    <xf numFmtId="176" fontId="4" fillId="2" borderId="95" xfId="0" applyNumberFormat="1" applyFont="1" applyFill="1" applyBorder="1" applyAlignment="1">
      <alignment horizontal="center" vertical="center" wrapText="1"/>
    </xf>
    <xf numFmtId="176" fontId="4" fillId="2" borderId="96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left"/>
    </xf>
    <xf numFmtId="176" fontId="2" fillId="0" borderId="0" xfId="0" applyNumberFormat="1" applyFont="1" applyAlignment="1">
      <alignment horizontal="center" vertical="center"/>
    </xf>
  </cellXfs>
  <cellStyles count="8">
    <cellStyle name="Comma" xfId="1" builtinId="3"/>
    <cellStyle name="Hyperlink" xfId="3" builtinId="8"/>
    <cellStyle name="Normal" xfId="0" builtinId="0"/>
    <cellStyle name="Percent" xfId="2" builtinId="5"/>
    <cellStyle name="常规 107 2" xfId="4"/>
    <cellStyle name="常规 6" xfId="5"/>
    <cellStyle name="千位分隔 2" xfId="6"/>
    <cellStyle name="样式 1" xfId="7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5"/>
  <sheetViews>
    <sheetView showGridLines="0" workbookViewId="0">
      <selection activeCell="E4" sqref="E4"/>
    </sheetView>
  </sheetViews>
  <sheetFormatPr defaultRowHeight="14" x14ac:dyDescent="0.25"/>
  <cols>
    <col min="1" max="1" width="31.453125" customWidth="1"/>
  </cols>
  <sheetData>
    <row r="1" spans="1:19" ht="24" x14ac:dyDescent="0.25">
      <c r="A1" s="460" t="s">
        <v>0</v>
      </c>
      <c r="B1" s="460"/>
      <c r="C1" s="460"/>
      <c r="D1" s="460"/>
      <c r="E1" s="460"/>
      <c r="F1" s="460"/>
      <c r="G1" s="460"/>
      <c r="H1" s="460"/>
      <c r="I1" s="460"/>
      <c r="J1" s="460"/>
      <c r="K1" s="460"/>
      <c r="L1" s="460"/>
      <c r="M1" s="460"/>
      <c r="N1" s="460"/>
      <c r="O1" s="460"/>
      <c r="P1" s="460"/>
      <c r="Q1" s="460"/>
      <c r="R1" s="460"/>
      <c r="S1" s="460"/>
    </row>
    <row r="2" spans="1:19" ht="15" thickBot="1" x14ac:dyDescent="0.3">
      <c r="A2" s="1" t="s">
        <v>1</v>
      </c>
      <c r="B2" s="2"/>
      <c r="C2" s="3"/>
      <c r="D2" s="4"/>
      <c r="E2" s="4"/>
      <c r="F2" s="4"/>
      <c r="G2" s="1" t="s">
        <v>2</v>
      </c>
      <c r="H2" s="5"/>
      <c r="I2" s="5"/>
      <c r="J2" s="5"/>
      <c r="K2" s="5"/>
      <c r="L2" s="5"/>
      <c r="M2" s="5"/>
      <c r="N2" s="5"/>
      <c r="O2" s="1" t="s">
        <v>3</v>
      </c>
      <c r="P2" s="6"/>
      <c r="Q2" s="6"/>
      <c r="R2" s="6"/>
      <c r="S2" s="7"/>
    </row>
    <row r="3" spans="1:19" ht="20" customHeight="1" x14ac:dyDescent="0.25">
      <c r="A3" s="8" t="s">
        <v>4</v>
      </c>
      <c r="B3" s="9" t="s">
        <v>5</v>
      </c>
      <c r="C3" s="10" t="s">
        <v>6</v>
      </c>
      <c r="D3" s="10" t="s">
        <v>7</v>
      </c>
      <c r="E3" s="10" t="s">
        <v>8</v>
      </c>
      <c r="F3" s="10" t="s">
        <v>9</v>
      </c>
      <c r="G3" s="10" t="s">
        <v>10</v>
      </c>
      <c r="H3" s="10" t="s">
        <v>11</v>
      </c>
      <c r="I3" s="10" t="s">
        <v>12</v>
      </c>
      <c r="J3" s="10" t="s">
        <v>13</v>
      </c>
      <c r="K3" s="10" t="s">
        <v>14</v>
      </c>
      <c r="L3" s="10" t="s">
        <v>15</v>
      </c>
      <c r="M3" s="10" t="s">
        <v>16</v>
      </c>
      <c r="N3" s="10" t="s">
        <v>17</v>
      </c>
      <c r="O3" s="10" t="s">
        <v>18</v>
      </c>
      <c r="P3" s="11" t="s">
        <v>19</v>
      </c>
      <c r="Q3" s="11" t="s">
        <v>20</v>
      </c>
      <c r="R3" s="11" t="s">
        <v>21</v>
      </c>
      <c r="S3" s="12" t="s">
        <v>22</v>
      </c>
    </row>
    <row r="4" spans="1:19" ht="20" customHeight="1" x14ac:dyDescent="0.25">
      <c r="A4" s="13" t="s">
        <v>23</v>
      </c>
      <c r="B4" s="14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6"/>
    </row>
    <row r="5" spans="1:19" ht="20" customHeight="1" x14ac:dyDescent="0.25">
      <c r="A5" s="17" t="s">
        <v>24</v>
      </c>
      <c r="B5" s="14"/>
      <c r="C5" s="18"/>
      <c r="D5" s="18"/>
      <c r="E5" s="18"/>
      <c r="F5" s="18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20"/>
    </row>
    <row r="6" spans="1:19" ht="20" customHeight="1" x14ac:dyDescent="0.25">
      <c r="A6" s="17" t="s">
        <v>25</v>
      </c>
      <c r="B6" s="21"/>
      <c r="C6" s="18">
        <f t="shared" ref="C6:C9" si="0">SUM(D6:F6)</f>
        <v>0</v>
      </c>
      <c r="D6" s="18"/>
      <c r="E6" s="18"/>
      <c r="F6" s="18"/>
      <c r="G6" s="18">
        <f t="shared" ref="G6:G10" si="1">SUM(H6:J6)</f>
        <v>0</v>
      </c>
      <c r="H6" s="18"/>
      <c r="I6" s="18"/>
      <c r="J6" s="18"/>
      <c r="K6" s="18">
        <f t="shared" ref="K6:K10" si="2">SUM(L6:N6)</f>
        <v>0</v>
      </c>
      <c r="L6" s="18"/>
      <c r="M6" s="18"/>
      <c r="N6" s="18"/>
      <c r="O6" s="18">
        <f t="shared" ref="O6:O10" si="3">SUM(P6:R6)</f>
        <v>0</v>
      </c>
      <c r="P6" s="18"/>
      <c r="Q6" s="18"/>
      <c r="R6" s="18"/>
      <c r="S6" s="22">
        <f t="shared" ref="S6:S23" si="4">O6+K6+G6+C6</f>
        <v>0</v>
      </c>
    </row>
    <row r="7" spans="1:19" ht="20" customHeight="1" x14ac:dyDescent="0.25">
      <c r="A7" s="17" t="s">
        <v>26</v>
      </c>
      <c r="B7" s="23"/>
      <c r="C7" s="18">
        <f t="shared" si="0"/>
        <v>0</v>
      </c>
      <c r="D7" s="18"/>
      <c r="E7" s="18"/>
      <c r="F7" s="18"/>
      <c r="G7" s="18">
        <f t="shared" si="1"/>
        <v>0</v>
      </c>
      <c r="H7" s="18"/>
      <c r="I7" s="18"/>
      <c r="J7" s="18"/>
      <c r="K7" s="18">
        <f t="shared" si="2"/>
        <v>0</v>
      </c>
      <c r="L7" s="18"/>
      <c r="M7" s="18"/>
      <c r="N7" s="18"/>
      <c r="O7" s="18">
        <f t="shared" si="3"/>
        <v>0</v>
      </c>
      <c r="P7" s="18"/>
      <c r="Q7" s="18"/>
      <c r="R7" s="18"/>
      <c r="S7" s="22">
        <f t="shared" si="4"/>
        <v>0</v>
      </c>
    </row>
    <row r="8" spans="1:19" ht="20" customHeight="1" x14ac:dyDescent="0.25">
      <c r="A8" s="17" t="s">
        <v>27</v>
      </c>
      <c r="B8" s="21"/>
      <c r="C8" s="18">
        <f t="shared" si="0"/>
        <v>0</v>
      </c>
      <c r="D8" s="18"/>
      <c r="E8" s="18"/>
      <c r="F8" s="18"/>
      <c r="G8" s="18">
        <f t="shared" si="1"/>
        <v>0</v>
      </c>
      <c r="H8" s="18"/>
      <c r="I8" s="18"/>
      <c r="J8" s="18"/>
      <c r="K8" s="18">
        <f t="shared" si="2"/>
        <v>0</v>
      </c>
      <c r="L8" s="18"/>
      <c r="M8" s="18"/>
      <c r="N8" s="18"/>
      <c r="O8" s="18">
        <f t="shared" si="3"/>
        <v>0</v>
      </c>
      <c r="P8" s="18"/>
      <c r="Q8" s="18"/>
      <c r="R8" s="18"/>
      <c r="S8" s="22">
        <f t="shared" si="4"/>
        <v>0</v>
      </c>
    </row>
    <row r="9" spans="1:19" ht="20" customHeight="1" x14ac:dyDescent="0.25">
      <c r="A9" s="17" t="s">
        <v>28</v>
      </c>
      <c r="B9" s="21"/>
      <c r="C9" s="18">
        <f t="shared" si="0"/>
        <v>0</v>
      </c>
      <c r="D9" s="18"/>
      <c r="E9" s="18"/>
      <c r="F9" s="18"/>
      <c r="G9" s="18">
        <f t="shared" si="1"/>
        <v>0</v>
      </c>
      <c r="H9" s="18"/>
      <c r="I9" s="18"/>
      <c r="J9" s="18"/>
      <c r="K9" s="18">
        <f t="shared" si="2"/>
        <v>0</v>
      </c>
      <c r="L9" s="18"/>
      <c r="M9" s="18"/>
      <c r="N9" s="18"/>
      <c r="O9" s="18">
        <f t="shared" si="3"/>
        <v>0</v>
      </c>
      <c r="P9" s="18"/>
      <c r="Q9" s="18"/>
      <c r="R9" s="18"/>
      <c r="S9" s="22">
        <f t="shared" si="4"/>
        <v>0</v>
      </c>
    </row>
    <row r="10" spans="1:19" ht="20" customHeight="1" x14ac:dyDescent="0.25">
      <c r="A10" s="17" t="s">
        <v>29</v>
      </c>
      <c r="B10" s="23"/>
      <c r="C10" s="18">
        <f t="shared" ref="C10:C23" si="5">SUM(D10:F10)</f>
        <v>0</v>
      </c>
      <c r="D10" s="18"/>
      <c r="E10" s="18"/>
      <c r="F10" s="18"/>
      <c r="G10" s="18">
        <f t="shared" si="1"/>
        <v>0</v>
      </c>
      <c r="H10" s="18"/>
      <c r="I10" s="18"/>
      <c r="J10" s="18"/>
      <c r="K10" s="18">
        <f t="shared" si="2"/>
        <v>0</v>
      </c>
      <c r="L10" s="18"/>
      <c r="M10" s="18"/>
      <c r="N10" s="18"/>
      <c r="O10" s="18">
        <f t="shared" si="3"/>
        <v>0</v>
      </c>
      <c r="P10" s="18"/>
      <c r="Q10" s="18"/>
      <c r="R10" s="18"/>
      <c r="S10" s="22">
        <f t="shared" si="4"/>
        <v>0</v>
      </c>
    </row>
    <row r="11" spans="1:19" ht="20" customHeight="1" x14ac:dyDescent="0.25">
      <c r="A11" s="24" t="s">
        <v>30</v>
      </c>
      <c r="B11" s="25"/>
      <c r="C11" s="26">
        <f t="shared" si="5"/>
        <v>0</v>
      </c>
      <c r="D11" s="26">
        <f t="shared" ref="D11:F11" si="6">D6+D8+D10</f>
        <v>0</v>
      </c>
      <c r="E11" s="26">
        <f t="shared" si="6"/>
        <v>0</v>
      </c>
      <c r="F11" s="26">
        <f t="shared" si="6"/>
        <v>0</v>
      </c>
      <c r="G11" s="26">
        <f t="shared" ref="G11:G23" si="7">SUM(H11:J11)</f>
        <v>0</v>
      </c>
      <c r="H11" s="26">
        <f t="shared" ref="H11:J11" si="8">H6+H8+H10</f>
        <v>0</v>
      </c>
      <c r="I11" s="26">
        <f t="shared" si="8"/>
        <v>0</v>
      </c>
      <c r="J11" s="26">
        <f t="shared" si="8"/>
        <v>0</v>
      </c>
      <c r="K11" s="26">
        <f t="shared" ref="K11:K23" si="9">SUM(L11:N11)</f>
        <v>0</v>
      </c>
      <c r="L11" s="26">
        <f t="shared" ref="L11:N11" si="10">L6+L8+L10</f>
        <v>0</v>
      </c>
      <c r="M11" s="26">
        <f t="shared" si="10"/>
        <v>0</v>
      </c>
      <c r="N11" s="26">
        <f t="shared" si="10"/>
        <v>0</v>
      </c>
      <c r="O11" s="26">
        <f t="shared" ref="O11:O23" si="11">SUM(P11:R11)</f>
        <v>0</v>
      </c>
      <c r="P11" s="26">
        <f t="shared" ref="P11:R11" si="12">P6+P8+P10</f>
        <v>0</v>
      </c>
      <c r="Q11" s="26">
        <f t="shared" si="12"/>
        <v>0</v>
      </c>
      <c r="R11" s="26">
        <f t="shared" si="12"/>
        <v>0</v>
      </c>
      <c r="S11" s="27">
        <f t="shared" si="4"/>
        <v>0</v>
      </c>
    </row>
    <row r="12" spans="1:19" ht="20" customHeight="1" x14ac:dyDescent="0.25">
      <c r="A12" s="17" t="s">
        <v>31</v>
      </c>
      <c r="B12" s="14"/>
      <c r="C12" s="28"/>
      <c r="D12" s="28"/>
      <c r="E12" s="28"/>
      <c r="F12" s="28"/>
      <c r="G12" s="19"/>
      <c r="H12" s="28"/>
      <c r="I12" s="28"/>
      <c r="J12" s="28"/>
      <c r="K12" s="19"/>
      <c r="L12" s="28"/>
      <c r="M12" s="28"/>
      <c r="N12" s="28"/>
      <c r="O12" s="19"/>
      <c r="P12" s="28"/>
      <c r="Q12" s="28"/>
      <c r="R12" s="28"/>
      <c r="S12" s="20"/>
    </row>
    <row r="13" spans="1:19" ht="20" customHeight="1" x14ac:dyDescent="0.25">
      <c r="A13" s="29" t="s">
        <v>32</v>
      </c>
      <c r="B13" s="30"/>
      <c r="C13" s="18">
        <f t="shared" si="5"/>
        <v>0</v>
      </c>
      <c r="D13" s="18"/>
      <c r="E13" s="18"/>
      <c r="F13" s="18"/>
      <c r="G13" s="18">
        <f t="shared" si="7"/>
        <v>0</v>
      </c>
      <c r="H13" s="18"/>
      <c r="I13" s="18"/>
      <c r="J13" s="18"/>
      <c r="K13" s="18">
        <f t="shared" si="9"/>
        <v>0</v>
      </c>
      <c r="L13" s="18"/>
      <c r="M13" s="18"/>
      <c r="N13" s="18"/>
      <c r="O13" s="18">
        <f t="shared" si="11"/>
        <v>0</v>
      </c>
      <c r="P13" s="18"/>
      <c r="Q13" s="18"/>
      <c r="R13" s="18"/>
      <c r="S13" s="22">
        <f t="shared" si="4"/>
        <v>0</v>
      </c>
    </row>
    <row r="14" spans="1:19" ht="20" customHeight="1" x14ac:dyDescent="0.25">
      <c r="A14" s="29" t="s">
        <v>33</v>
      </c>
      <c r="B14" s="31"/>
      <c r="C14" s="18">
        <f t="shared" si="5"/>
        <v>0</v>
      </c>
      <c r="D14" s="18"/>
      <c r="E14" s="18"/>
      <c r="F14" s="18"/>
      <c r="G14" s="18">
        <f t="shared" si="7"/>
        <v>0</v>
      </c>
      <c r="H14" s="18"/>
      <c r="I14" s="18"/>
      <c r="J14" s="18"/>
      <c r="K14" s="18">
        <f t="shared" si="9"/>
        <v>0</v>
      </c>
      <c r="L14" s="18"/>
      <c r="M14" s="18"/>
      <c r="N14" s="18"/>
      <c r="O14" s="18">
        <f t="shared" si="11"/>
        <v>0</v>
      </c>
      <c r="P14" s="18"/>
      <c r="Q14" s="18"/>
      <c r="R14" s="18"/>
      <c r="S14" s="22">
        <f t="shared" si="4"/>
        <v>0</v>
      </c>
    </row>
    <row r="15" spans="1:19" ht="20" customHeight="1" x14ac:dyDescent="0.25">
      <c r="A15" s="29" t="s">
        <v>34</v>
      </c>
      <c r="B15" s="23"/>
      <c r="C15" s="18">
        <f t="shared" si="5"/>
        <v>0</v>
      </c>
      <c r="D15" s="18"/>
      <c r="E15" s="18"/>
      <c r="F15" s="18"/>
      <c r="G15" s="18">
        <f t="shared" si="7"/>
        <v>0</v>
      </c>
      <c r="H15" s="18"/>
      <c r="I15" s="18"/>
      <c r="J15" s="18"/>
      <c r="K15" s="18">
        <f t="shared" si="9"/>
        <v>0</v>
      </c>
      <c r="L15" s="18"/>
      <c r="M15" s="18"/>
      <c r="N15" s="18"/>
      <c r="O15" s="18">
        <f t="shared" si="11"/>
        <v>0</v>
      </c>
      <c r="P15" s="18"/>
      <c r="Q15" s="18"/>
      <c r="R15" s="18"/>
      <c r="S15" s="22">
        <f t="shared" si="4"/>
        <v>0</v>
      </c>
    </row>
    <row r="16" spans="1:19" ht="20" customHeight="1" x14ac:dyDescent="0.25">
      <c r="A16" s="24" t="s">
        <v>35</v>
      </c>
      <c r="B16" s="25"/>
      <c r="C16" s="26">
        <f t="shared" si="5"/>
        <v>0</v>
      </c>
      <c r="D16" s="26">
        <f t="shared" ref="D16:F16" si="13">D13+D15</f>
        <v>0</v>
      </c>
      <c r="E16" s="26">
        <f t="shared" si="13"/>
        <v>0</v>
      </c>
      <c r="F16" s="26">
        <f t="shared" si="13"/>
        <v>0</v>
      </c>
      <c r="G16" s="26">
        <f t="shared" si="7"/>
        <v>0</v>
      </c>
      <c r="H16" s="26">
        <f t="shared" ref="H16:J16" si="14">H13+H15</f>
        <v>0</v>
      </c>
      <c r="I16" s="26">
        <f t="shared" si="14"/>
        <v>0</v>
      </c>
      <c r="J16" s="26">
        <f t="shared" si="14"/>
        <v>0</v>
      </c>
      <c r="K16" s="26">
        <f t="shared" si="9"/>
        <v>0</v>
      </c>
      <c r="L16" s="26">
        <f t="shared" ref="L16:N16" si="15">L13+L15</f>
        <v>0</v>
      </c>
      <c r="M16" s="26">
        <f t="shared" si="15"/>
        <v>0</v>
      </c>
      <c r="N16" s="26">
        <f t="shared" si="15"/>
        <v>0</v>
      </c>
      <c r="O16" s="26">
        <f t="shared" si="11"/>
        <v>0</v>
      </c>
      <c r="P16" s="26">
        <f t="shared" ref="P16:R16" si="16">P13+P15</f>
        <v>0</v>
      </c>
      <c r="Q16" s="26">
        <f t="shared" si="16"/>
        <v>0</v>
      </c>
      <c r="R16" s="26">
        <f t="shared" si="16"/>
        <v>0</v>
      </c>
      <c r="S16" s="27">
        <f t="shared" si="4"/>
        <v>0</v>
      </c>
    </row>
    <row r="17" spans="1:19" ht="20" customHeight="1" x14ac:dyDescent="0.25">
      <c r="A17" s="17" t="s">
        <v>36</v>
      </c>
      <c r="B17" s="23"/>
      <c r="C17" s="18">
        <f t="shared" si="5"/>
        <v>0</v>
      </c>
      <c r="D17" s="18"/>
      <c r="E17" s="18"/>
      <c r="F17" s="18"/>
      <c r="G17" s="18">
        <f t="shared" si="7"/>
        <v>0</v>
      </c>
      <c r="H17" s="18"/>
      <c r="I17" s="18"/>
      <c r="J17" s="18"/>
      <c r="K17" s="18">
        <f t="shared" si="9"/>
        <v>0</v>
      </c>
      <c r="L17" s="18"/>
      <c r="M17" s="18"/>
      <c r="N17" s="18"/>
      <c r="O17" s="18">
        <f t="shared" si="11"/>
        <v>0</v>
      </c>
      <c r="P17" s="18"/>
      <c r="Q17" s="18"/>
      <c r="R17" s="18"/>
      <c r="S17" s="22">
        <f t="shared" si="4"/>
        <v>0</v>
      </c>
    </row>
    <row r="18" spans="1:19" ht="20" customHeight="1" x14ac:dyDescent="0.25">
      <c r="A18" s="17" t="s">
        <v>37</v>
      </c>
      <c r="B18" s="23"/>
      <c r="C18" s="18">
        <f t="shared" si="5"/>
        <v>0</v>
      </c>
      <c r="D18" s="18"/>
      <c r="E18" s="18"/>
      <c r="F18" s="18"/>
      <c r="G18" s="18">
        <f t="shared" si="7"/>
        <v>0</v>
      </c>
      <c r="H18" s="18"/>
      <c r="I18" s="18"/>
      <c r="J18" s="18"/>
      <c r="K18" s="18">
        <f t="shared" si="9"/>
        <v>0</v>
      </c>
      <c r="L18" s="18"/>
      <c r="M18" s="18"/>
      <c r="N18" s="18"/>
      <c r="O18" s="18">
        <f t="shared" si="11"/>
        <v>0</v>
      </c>
      <c r="P18" s="18"/>
      <c r="Q18" s="18"/>
      <c r="R18" s="18"/>
      <c r="S18" s="22">
        <f t="shared" si="4"/>
        <v>0</v>
      </c>
    </row>
    <row r="19" spans="1:19" ht="20" customHeight="1" x14ac:dyDescent="0.25">
      <c r="A19" s="24" t="s">
        <v>38</v>
      </c>
      <c r="B19" s="25"/>
      <c r="C19" s="26">
        <f t="shared" si="5"/>
        <v>0</v>
      </c>
      <c r="D19" s="26">
        <f t="shared" ref="D19:F19" si="17">SUM(D17:D18)</f>
        <v>0</v>
      </c>
      <c r="E19" s="26">
        <f t="shared" si="17"/>
        <v>0</v>
      </c>
      <c r="F19" s="26">
        <f t="shared" si="17"/>
        <v>0</v>
      </c>
      <c r="G19" s="26">
        <f t="shared" si="7"/>
        <v>0</v>
      </c>
      <c r="H19" s="26">
        <f t="shared" ref="H19:J19" si="18">SUM(H17:H18)</f>
        <v>0</v>
      </c>
      <c r="I19" s="26">
        <f t="shared" si="18"/>
        <v>0</v>
      </c>
      <c r="J19" s="26">
        <f t="shared" si="18"/>
        <v>0</v>
      </c>
      <c r="K19" s="26">
        <f t="shared" si="9"/>
        <v>0</v>
      </c>
      <c r="L19" s="26">
        <f t="shared" ref="L19:N19" si="19">SUM(L17:L18)</f>
        <v>0</v>
      </c>
      <c r="M19" s="26">
        <f t="shared" si="19"/>
        <v>0</v>
      </c>
      <c r="N19" s="26">
        <f t="shared" si="19"/>
        <v>0</v>
      </c>
      <c r="O19" s="26">
        <f t="shared" si="11"/>
        <v>0</v>
      </c>
      <c r="P19" s="26">
        <f t="shared" ref="P19:R19" si="20">SUM(P17:P18)</f>
        <v>0</v>
      </c>
      <c r="Q19" s="26">
        <f t="shared" si="20"/>
        <v>0</v>
      </c>
      <c r="R19" s="26">
        <f t="shared" si="20"/>
        <v>0</v>
      </c>
      <c r="S19" s="27">
        <f t="shared" si="4"/>
        <v>0</v>
      </c>
    </row>
    <row r="20" spans="1:19" ht="20" customHeight="1" x14ac:dyDescent="0.25">
      <c r="A20" s="24" t="s">
        <v>39</v>
      </c>
      <c r="B20" s="32"/>
      <c r="C20" s="26">
        <f t="shared" si="5"/>
        <v>0</v>
      </c>
      <c r="D20" s="26"/>
      <c r="E20" s="26"/>
      <c r="F20" s="26"/>
      <c r="G20" s="26">
        <f t="shared" si="7"/>
        <v>0</v>
      </c>
      <c r="H20" s="26"/>
      <c r="I20" s="26"/>
      <c r="J20" s="26"/>
      <c r="K20" s="26">
        <f t="shared" si="9"/>
        <v>0</v>
      </c>
      <c r="L20" s="26"/>
      <c r="M20" s="26"/>
      <c r="N20" s="26"/>
      <c r="O20" s="26">
        <f t="shared" si="11"/>
        <v>0</v>
      </c>
      <c r="P20" s="26"/>
      <c r="Q20" s="26"/>
      <c r="R20" s="26"/>
      <c r="S20" s="27">
        <f t="shared" si="4"/>
        <v>0</v>
      </c>
    </row>
    <row r="21" spans="1:19" ht="20" customHeight="1" x14ac:dyDescent="0.25">
      <c r="A21" s="17" t="s">
        <v>40</v>
      </c>
      <c r="B21" s="23"/>
      <c r="C21" s="18">
        <f t="shared" si="5"/>
        <v>0</v>
      </c>
      <c r="D21" s="18"/>
      <c r="E21" s="18"/>
      <c r="F21" s="18"/>
      <c r="G21" s="18">
        <f t="shared" si="7"/>
        <v>0</v>
      </c>
      <c r="H21" s="18"/>
      <c r="I21" s="18"/>
      <c r="J21" s="18"/>
      <c r="K21" s="18">
        <f t="shared" si="9"/>
        <v>0</v>
      </c>
      <c r="L21" s="18"/>
      <c r="M21" s="18"/>
      <c r="N21" s="18"/>
      <c r="O21" s="18">
        <f t="shared" si="11"/>
        <v>0</v>
      </c>
      <c r="P21" s="18"/>
      <c r="Q21" s="18"/>
      <c r="R21" s="18"/>
      <c r="S21" s="22">
        <f t="shared" si="4"/>
        <v>0</v>
      </c>
    </row>
    <row r="22" spans="1:19" ht="20" customHeight="1" x14ac:dyDescent="0.25">
      <c r="A22" s="33" t="s">
        <v>41</v>
      </c>
      <c r="B22" s="25"/>
      <c r="C22" s="26">
        <f t="shared" si="5"/>
        <v>0</v>
      </c>
      <c r="D22" s="26">
        <f t="shared" ref="D22:F22" si="21">D16+D19+D20+D21</f>
        <v>0</v>
      </c>
      <c r="E22" s="26">
        <f t="shared" si="21"/>
        <v>0</v>
      </c>
      <c r="F22" s="26">
        <f t="shared" si="21"/>
        <v>0</v>
      </c>
      <c r="G22" s="26">
        <f t="shared" si="7"/>
        <v>0</v>
      </c>
      <c r="H22" s="26">
        <f t="shared" ref="H22:J22" si="22">H16+H19+H20+H21</f>
        <v>0</v>
      </c>
      <c r="I22" s="26">
        <f t="shared" si="22"/>
        <v>0</v>
      </c>
      <c r="J22" s="26">
        <f t="shared" si="22"/>
        <v>0</v>
      </c>
      <c r="K22" s="26">
        <f t="shared" si="9"/>
        <v>0</v>
      </c>
      <c r="L22" s="26">
        <f t="shared" ref="L22:N22" si="23">L16+L19+L20+L21</f>
        <v>0</v>
      </c>
      <c r="M22" s="26">
        <f t="shared" si="23"/>
        <v>0</v>
      </c>
      <c r="N22" s="26">
        <f t="shared" si="23"/>
        <v>0</v>
      </c>
      <c r="O22" s="26">
        <f t="shared" si="11"/>
        <v>0</v>
      </c>
      <c r="P22" s="26">
        <f t="shared" ref="P22:R22" si="24">P16+P19+P20+P21</f>
        <v>0</v>
      </c>
      <c r="Q22" s="26">
        <f t="shared" si="24"/>
        <v>0</v>
      </c>
      <c r="R22" s="26">
        <f t="shared" si="24"/>
        <v>0</v>
      </c>
      <c r="S22" s="27">
        <f t="shared" si="4"/>
        <v>0</v>
      </c>
    </row>
    <row r="23" spans="1:19" ht="20" customHeight="1" x14ac:dyDescent="0.25">
      <c r="A23" s="34" t="s">
        <v>42</v>
      </c>
      <c r="B23" s="14"/>
      <c r="C23" s="18">
        <f t="shared" si="5"/>
        <v>0</v>
      </c>
      <c r="D23" s="18">
        <f t="shared" ref="D23:F23" si="25">D11-D22</f>
        <v>0</v>
      </c>
      <c r="E23" s="18">
        <f t="shared" si="25"/>
        <v>0</v>
      </c>
      <c r="F23" s="18">
        <f t="shared" si="25"/>
        <v>0</v>
      </c>
      <c r="G23" s="18">
        <f t="shared" si="7"/>
        <v>0</v>
      </c>
      <c r="H23" s="18">
        <f t="shared" ref="H23:J23" si="26">H11-H22</f>
        <v>0</v>
      </c>
      <c r="I23" s="18">
        <f t="shared" si="26"/>
        <v>0</v>
      </c>
      <c r="J23" s="18">
        <f t="shared" si="26"/>
        <v>0</v>
      </c>
      <c r="K23" s="18">
        <f t="shared" si="9"/>
        <v>0</v>
      </c>
      <c r="L23" s="18">
        <f t="shared" ref="L23:N23" si="27">L11-L22</f>
        <v>0</v>
      </c>
      <c r="M23" s="18">
        <f t="shared" si="27"/>
        <v>0</v>
      </c>
      <c r="N23" s="18">
        <f t="shared" si="27"/>
        <v>0</v>
      </c>
      <c r="O23" s="18">
        <f t="shared" si="11"/>
        <v>0</v>
      </c>
      <c r="P23" s="18">
        <f t="shared" ref="P23:R23" si="28">P11-P22</f>
        <v>0</v>
      </c>
      <c r="Q23" s="18">
        <f t="shared" si="28"/>
        <v>0</v>
      </c>
      <c r="R23" s="18">
        <f t="shared" si="28"/>
        <v>0</v>
      </c>
      <c r="S23" s="22">
        <f t="shared" si="4"/>
        <v>0</v>
      </c>
    </row>
    <row r="24" spans="1:19" ht="20" customHeight="1" x14ac:dyDescent="0.25">
      <c r="A24" s="13" t="s">
        <v>43</v>
      </c>
      <c r="B24" s="14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22"/>
    </row>
    <row r="25" spans="1:19" ht="20" customHeight="1" x14ac:dyDescent="0.25">
      <c r="A25" s="17" t="s">
        <v>24</v>
      </c>
      <c r="B25" s="14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22"/>
    </row>
    <row r="26" spans="1:19" ht="20" customHeight="1" x14ac:dyDescent="0.25">
      <c r="A26" s="17" t="s">
        <v>44</v>
      </c>
      <c r="B26" s="23"/>
      <c r="C26" s="18">
        <f t="shared" ref="C26:C29" si="29">SUM(D26:F26)</f>
        <v>0</v>
      </c>
      <c r="D26" s="18"/>
      <c r="E26" s="18"/>
      <c r="F26" s="18"/>
      <c r="G26" s="18">
        <f t="shared" ref="G26:G29" si="30">SUM(H26:J26)</f>
        <v>0</v>
      </c>
      <c r="H26" s="18"/>
      <c r="I26" s="18"/>
      <c r="J26" s="18"/>
      <c r="K26" s="18">
        <f t="shared" ref="K26:K29" si="31">SUM(L26:N26)</f>
        <v>0</v>
      </c>
      <c r="L26" s="18"/>
      <c r="M26" s="18"/>
      <c r="N26" s="18"/>
      <c r="O26" s="18">
        <f t="shared" ref="O26:O29" si="32">SUM(P26:R26)</f>
        <v>0</v>
      </c>
      <c r="P26" s="18"/>
      <c r="Q26" s="18"/>
      <c r="R26" s="18"/>
      <c r="S26" s="22">
        <f t="shared" ref="S26:S39" si="33">O26+K26+G26+C26</f>
        <v>0</v>
      </c>
    </row>
    <row r="27" spans="1:19" ht="20" customHeight="1" x14ac:dyDescent="0.25">
      <c r="A27" s="17" t="s">
        <v>45</v>
      </c>
      <c r="B27" s="23"/>
      <c r="C27" s="18">
        <f t="shared" si="29"/>
        <v>0</v>
      </c>
      <c r="D27" s="18"/>
      <c r="E27" s="18"/>
      <c r="F27" s="18"/>
      <c r="G27" s="18">
        <f t="shared" si="30"/>
        <v>0</v>
      </c>
      <c r="H27" s="18"/>
      <c r="I27" s="18"/>
      <c r="J27" s="18"/>
      <c r="K27" s="18">
        <f t="shared" si="31"/>
        <v>0</v>
      </c>
      <c r="L27" s="18"/>
      <c r="M27" s="18"/>
      <c r="N27" s="18"/>
      <c r="O27" s="18">
        <f t="shared" si="32"/>
        <v>0</v>
      </c>
      <c r="P27" s="18"/>
      <c r="Q27" s="18"/>
      <c r="R27" s="18"/>
      <c r="S27" s="22">
        <f t="shared" si="33"/>
        <v>0</v>
      </c>
    </row>
    <row r="28" spans="1:19" ht="20" customHeight="1" x14ac:dyDescent="0.25">
      <c r="A28" s="17" t="s">
        <v>46</v>
      </c>
      <c r="B28" s="23"/>
      <c r="C28" s="18">
        <f t="shared" si="29"/>
        <v>0</v>
      </c>
      <c r="D28" s="18"/>
      <c r="E28" s="18"/>
      <c r="F28" s="18"/>
      <c r="G28" s="18">
        <f t="shared" si="30"/>
        <v>0</v>
      </c>
      <c r="H28" s="18"/>
      <c r="I28" s="18"/>
      <c r="J28" s="18"/>
      <c r="K28" s="18">
        <f t="shared" si="31"/>
        <v>0</v>
      </c>
      <c r="L28" s="18"/>
      <c r="M28" s="18"/>
      <c r="N28" s="18"/>
      <c r="O28" s="18">
        <f t="shared" si="32"/>
        <v>0</v>
      </c>
      <c r="P28" s="18"/>
      <c r="Q28" s="18"/>
      <c r="R28" s="18"/>
      <c r="S28" s="22">
        <f t="shared" si="33"/>
        <v>0</v>
      </c>
    </row>
    <row r="29" spans="1:19" ht="20" customHeight="1" x14ac:dyDescent="0.25">
      <c r="A29" s="35" t="s">
        <v>47</v>
      </c>
      <c r="B29" s="23"/>
      <c r="C29" s="18">
        <f t="shared" si="29"/>
        <v>0</v>
      </c>
      <c r="D29" s="18"/>
      <c r="E29" s="18"/>
      <c r="F29" s="18"/>
      <c r="G29" s="18">
        <f t="shared" si="30"/>
        <v>0</v>
      </c>
      <c r="H29" s="18"/>
      <c r="I29" s="18"/>
      <c r="J29" s="18"/>
      <c r="K29" s="18">
        <f t="shared" si="31"/>
        <v>0</v>
      </c>
      <c r="L29" s="18"/>
      <c r="M29" s="18"/>
      <c r="N29" s="18"/>
      <c r="O29" s="18">
        <f t="shared" si="32"/>
        <v>0</v>
      </c>
      <c r="P29" s="18"/>
      <c r="Q29" s="18"/>
      <c r="R29" s="18"/>
      <c r="S29" s="22">
        <f t="shared" si="33"/>
        <v>0</v>
      </c>
    </row>
    <row r="30" spans="1:19" ht="20" customHeight="1" x14ac:dyDescent="0.25">
      <c r="A30" s="17" t="s">
        <v>48</v>
      </c>
      <c r="B30" s="23"/>
      <c r="C30" s="18">
        <f t="shared" ref="C30:C39" si="34">SUM(D30:F30)</f>
        <v>0</v>
      </c>
      <c r="D30" s="18"/>
      <c r="E30" s="18"/>
      <c r="F30" s="18"/>
      <c r="G30" s="18">
        <f t="shared" ref="G30:G39" si="35">SUM(H30:J30)</f>
        <v>0</v>
      </c>
      <c r="H30" s="18"/>
      <c r="I30" s="18"/>
      <c r="J30" s="18"/>
      <c r="K30" s="18">
        <f t="shared" ref="K30:K39" si="36">SUM(L30:N30)</f>
        <v>0</v>
      </c>
      <c r="L30" s="18"/>
      <c r="M30" s="18"/>
      <c r="N30" s="18"/>
      <c r="O30" s="18">
        <f t="shared" ref="O30:O39" si="37">SUM(P30:R30)</f>
        <v>0</v>
      </c>
      <c r="P30" s="18"/>
      <c r="Q30" s="18"/>
      <c r="R30" s="18"/>
      <c r="S30" s="22">
        <f t="shared" si="33"/>
        <v>0</v>
      </c>
    </row>
    <row r="31" spans="1:19" ht="20" customHeight="1" x14ac:dyDescent="0.25">
      <c r="A31" s="24" t="s">
        <v>49</v>
      </c>
      <c r="B31" s="25"/>
      <c r="C31" s="26">
        <f t="shared" si="34"/>
        <v>0</v>
      </c>
      <c r="D31" s="26">
        <f t="shared" ref="D31:F31" si="38">SUM(D26:D30)</f>
        <v>0</v>
      </c>
      <c r="E31" s="26">
        <f t="shared" si="38"/>
        <v>0</v>
      </c>
      <c r="F31" s="26">
        <f t="shared" si="38"/>
        <v>0</v>
      </c>
      <c r="G31" s="26">
        <f t="shared" si="35"/>
        <v>0</v>
      </c>
      <c r="H31" s="26">
        <f t="shared" ref="H31:J31" si="39">SUM(H26:H30)</f>
        <v>0</v>
      </c>
      <c r="I31" s="26">
        <f t="shared" si="39"/>
        <v>0</v>
      </c>
      <c r="J31" s="26">
        <f t="shared" si="39"/>
        <v>0</v>
      </c>
      <c r="K31" s="26">
        <f t="shared" si="36"/>
        <v>0</v>
      </c>
      <c r="L31" s="26">
        <f t="shared" ref="L31:N31" si="40">SUM(L26:L30)</f>
        <v>0</v>
      </c>
      <c r="M31" s="26">
        <f t="shared" si="40"/>
        <v>0</v>
      </c>
      <c r="N31" s="26">
        <f t="shared" si="40"/>
        <v>0</v>
      </c>
      <c r="O31" s="26">
        <f t="shared" si="37"/>
        <v>0</v>
      </c>
      <c r="P31" s="26">
        <f t="shared" ref="P31:R31" si="41">SUM(P26:P30)</f>
        <v>0</v>
      </c>
      <c r="Q31" s="26">
        <f t="shared" si="41"/>
        <v>0</v>
      </c>
      <c r="R31" s="26">
        <f t="shared" si="41"/>
        <v>0</v>
      </c>
      <c r="S31" s="27">
        <f t="shared" si="33"/>
        <v>0</v>
      </c>
    </row>
    <row r="32" spans="1:19" ht="20" customHeight="1" x14ac:dyDescent="0.25">
      <c r="A32" s="17" t="s">
        <v>31</v>
      </c>
      <c r="B32" s="14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22"/>
    </row>
    <row r="33" spans="1:19" ht="20" customHeight="1" x14ac:dyDescent="0.25">
      <c r="A33" s="36" t="s">
        <v>50</v>
      </c>
      <c r="B33" s="23"/>
      <c r="C33" s="18">
        <f>SUM(D33:F33)</f>
        <v>0</v>
      </c>
      <c r="D33" s="18"/>
      <c r="E33" s="18"/>
      <c r="F33" s="18"/>
      <c r="G33" s="18">
        <f>SUM(H33:J33)</f>
        <v>0</v>
      </c>
      <c r="H33" s="18"/>
      <c r="I33" s="18"/>
      <c r="J33" s="18"/>
      <c r="K33" s="18">
        <f t="shared" si="36"/>
        <v>0</v>
      </c>
      <c r="L33" s="18"/>
      <c r="M33" s="18"/>
      <c r="N33" s="18"/>
      <c r="O33" s="18">
        <f>SUM(P33:R33)</f>
        <v>0</v>
      </c>
      <c r="P33" s="18"/>
      <c r="Q33" s="18"/>
      <c r="R33" s="18"/>
      <c r="S33" s="22">
        <f>O33+K33+G33+C33</f>
        <v>0</v>
      </c>
    </row>
    <row r="34" spans="1:19" ht="20" customHeight="1" x14ac:dyDescent="0.25">
      <c r="A34" s="36" t="s">
        <v>51</v>
      </c>
      <c r="B34" s="23"/>
      <c r="C34" s="18">
        <f t="shared" si="34"/>
        <v>0</v>
      </c>
      <c r="D34" s="18"/>
      <c r="E34" s="18"/>
      <c r="F34" s="18"/>
      <c r="G34" s="18">
        <f t="shared" si="35"/>
        <v>0</v>
      </c>
      <c r="H34" s="18"/>
      <c r="I34" s="18"/>
      <c r="J34" s="18"/>
      <c r="K34" s="18">
        <f t="shared" si="36"/>
        <v>0</v>
      </c>
      <c r="L34" s="18"/>
      <c r="M34" s="18"/>
      <c r="N34" s="18"/>
      <c r="O34" s="18">
        <f t="shared" si="37"/>
        <v>0</v>
      </c>
      <c r="P34" s="18"/>
      <c r="Q34" s="18"/>
      <c r="R34" s="18"/>
      <c r="S34" s="22">
        <f t="shared" si="33"/>
        <v>0</v>
      </c>
    </row>
    <row r="35" spans="1:19" ht="20" customHeight="1" x14ac:dyDescent="0.25">
      <c r="A35" s="36" t="s">
        <v>52</v>
      </c>
      <c r="B35" s="23"/>
      <c r="C35" s="18">
        <f t="shared" si="34"/>
        <v>0</v>
      </c>
      <c r="D35" s="18"/>
      <c r="E35" s="18"/>
      <c r="F35" s="18"/>
      <c r="G35" s="18">
        <f t="shared" si="35"/>
        <v>0</v>
      </c>
      <c r="H35" s="18"/>
      <c r="I35" s="18"/>
      <c r="J35" s="18"/>
      <c r="K35" s="18">
        <f t="shared" si="36"/>
        <v>0</v>
      </c>
      <c r="L35" s="18"/>
      <c r="M35" s="18"/>
      <c r="N35" s="18"/>
      <c r="O35" s="18">
        <f t="shared" si="37"/>
        <v>0</v>
      </c>
      <c r="P35" s="18"/>
      <c r="Q35" s="18"/>
      <c r="R35" s="18"/>
      <c r="S35" s="22">
        <f t="shared" si="33"/>
        <v>0</v>
      </c>
    </row>
    <row r="36" spans="1:19" ht="20" customHeight="1" x14ac:dyDescent="0.25">
      <c r="A36" s="29" t="s">
        <v>53</v>
      </c>
      <c r="B36" s="23"/>
      <c r="C36" s="18">
        <f t="shared" si="34"/>
        <v>0</v>
      </c>
      <c r="D36" s="18"/>
      <c r="E36" s="18"/>
      <c r="F36" s="18"/>
      <c r="G36" s="18">
        <f t="shared" si="35"/>
        <v>0</v>
      </c>
      <c r="H36" s="18"/>
      <c r="I36" s="18"/>
      <c r="J36" s="18"/>
      <c r="K36" s="18">
        <f t="shared" si="36"/>
        <v>0</v>
      </c>
      <c r="L36" s="18"/>
      <c r="M36" s="18"/>
      <c r="N36" s="18"/>
      <c r="O36" s="18">
        <f t="shared" si="37"/>
        <v>0</v>
      </c>
      <c r="P36" s="18"/>
      <c r="Q36" s="18"/>
      <c r="R36" s="18"/>
      <c r="S36" s="22">
        <f t="shared" si="33"/>
        <v>0</v>
      </c>
    </row>
    <row r="37" spans="1:19" ht="20" customHeight="1" x14ac:dyDescent="0.25">
      <c r="A37" s="29" t="s">
        <v>54</v>
      </c>
      <c r="B37" s="23"/>
      <c r="C37" s="18">
        <f t="shared" si="34"/>
        <v>0</v>
      </c>
      <c r="D37" s="18"/>
      <c r="E37" s="18"/>
      <c r="F37" s="18"/>
      <c r="G37" s="18">
        <f t="shared" si="35"/>
        <v>0</v>
      </c>
      <c r="H37" s="18"/>
      <c r="I37" s="18"/>
      <c r="J37" s="18"/>
      <c r="K37" s="18">
        <f t="shared" si="36"/>
        <v>0</v>
      </c>
      <c r="L37" s="18"/>
      <c r="M37" s="18"/>
      <c r="N37" s="18"/>
      <c r="O37" s="18">
        <f t="shared" si="37"/>
        <v>0</v>
      </c>
      <c r="P37" s="18"/>
      <c r="Q37" s="18"/>
      <c r="R37" s="18"/>
      <c r="S37" s="22">
        <f t="shared" si="33"/>
        <v>0</v>
      </c>
    </row>
    <row r="38" spans="1:19" ht="20" customHeight="1" x14ac:dyDescent="0.25">
      <c r="A38" s="33" t="s">
        <v>55</v>
      </c>
      <c r="B38" s="25"/>
      <c r="C38" s="26">
        <f t="shared" si="34"/>
        <v>0</v>
      </c>
      <c r="D38" s="26">
        <f t="shared" ref="D38:F38" si="42">SUM(D33:D37)</f>
        <v>0</v>
      </c>
      <c r="E38" s="26">
        <f t="shared" si="42"/>
        <v>0</v>
      </c>
      <c r="F38" s="26">
        <f t="shared" si="42"/>
        <v>0</v>
      </c>
      <c r="G38" s="26">
        <f t="shared" si="35"/>
        <v>0</v>
      </c>
      <c r="H38" s="26">
        <f t="shared" ref="H38:J38" si="43">SUM(H33:H37)</f>
        <v>0</v>
      </c>
      <c r="I38" s="26">
        <f t="shared" si="43"/>
        <v>0</v>
      </c>
      <c r="J38" s="26">
        <f t="shared" si="43"/>
        <v>0</v>
      </c>
      <c r="K38" s="26">
        <f t="shared" si="36"/>
        <v>0</v>
      </c>
      <c r="L38" s="26">
        <f t="shared" ref="L38:N38" si="44">SUM(L33:L37)</f>
        <v>0</v>
      </c>
      <c r="M38" s="26">
        <f t="shared" si="44"/>
        <v>0</v>
      </c>
      <c r="N38" s="26">
        <f t="shared" si="44"/>
        <v>0</v>
      </c>
      <c r="O38" s="26">
        <f t="shared" si="37"/>
        <v>0</v>
      </c>
      <c r="P38" s="26">
        <f t="shared" ref="P38:R38" si="45">SUM(P33:P37)</f>
        <v>0</v>
      </c>
      <c r="Q38" s="26">
        <f t="shared" si="45"/>
        <v>0</v>
      </c>
      <c r="R38" s="26">
        <f t="shared" si="45"/>
        <v>0</v>
      </c>
      <c r="S38" s="27">
        <f t="shared" si="33"/>
        <v>0</v>
      </c>
    </row>
    <row r="39" spans="1:19" ht="20" customHeight="1" x14ac:dyDescent="0.25">
      <c r="A39" s="34" t="s">
        <v>56</v>
      </c>
      <c r="B39" s="14"/>
      <c r="C39" s="18">
        <f t="shared" si="34"/>
        <v>0</v>
      </c>
      <c r="D39" s="18">
        <f t="shared" ref="D39:F39" si="46">D31-D38</f>
        <v>0</v>
      </c>
      <c r="E39" s="18">
        <f t="shared" si="46"/>
        <v>0</v>
      </c>
      <c r="F39" s="18">
        <f t="shared" si="46"/>
        <v>0</v>
      </c>
      <c r="G39" s="18">
        <f t="shared" si="35"/>
        <v>0</v>
      </c>
      <c r="H39" s="18">
        <f t="shared" ref="H39:J39" si="47">H31-H38</f>
        <v>0</v>
      </c>
      <c r="I39" s="18">
        <f t="shared" si="47"/>
        <v>0</v>
      </c>
      <c r="J39" s="18">
        <f t="shared" si="47"/>
        <v>0</v>
      </c>
      <c r="K39" s="18">
        <f t="shared" si="36"/>
        <v>0</v>
      </c>
      <c r="L39" s="18">
        <f t="shared" ref="L39:N39" si="48">L31-L38</f>
        <v>0</v>
      </c>
      <c r="M39" s="18">
        <f t="shared" si="48"/>
        <v>0</v>
      </c>
      <c r="N39" s="18">
        <f t="shared" si="48"/>
        <v>0</v>
      </c>
      <c r="O39" s="18">
        <f t="shared" si="37"/>
        <v>0</v>
      </c>
      <c r="P39" s="18">
        <f t="shared" ref="P39:R39" si="49">P31-P38</f>
        <v>0</v>
      </c>
      <c r="Q39" s="18">
        <f t="shared" si="49"/>
        <v>0</v>
      </c>
      <c r="R39" s="18">
        <f t="shared" si="49"/>
        <v>0</v>
      </c>
      <c r="S39" s="22">
        <f t="shared" si="33"/>
        <v>0</v>
      </c>
    </row>
    <row r="40" spans="1:19" ht="20" customHeight="1" x14ac:dyDescent="0.25">
      <c r="A40" s="13" t="s">
        <v>57</v>
      </c>
      <c r="B40" s="14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22"/>
    </row>
    <row r="41" spans="1:19" ht="20" customHeight="1" x14ac:dyDescent="0.25">
      <c r="A41" s="17" t="s">
        <v>58</v>
      </c>
      <c r="B41" s="23"/>
      <c r="C41" s="18">
        <f t="shared" ref="C41:C53" si="50">SUM(D41:F41)</f>
        <v>0</v>
      </c>
      <c r="D41" s="18"/>
      <c r="E41" s="18"/>
      <c r="F41" s="18"/>
      <c r="G41" s="18">
        <f t="shared" ref="G41:G53" si="51">SUM(H41:J41)</f>
        <v>0</v>
      </c>
      <c r="H41" s="18"/>
      <c r="I41" s="18"/>
      <c r="J41" s="18"/>
      <c r="K41" s="18">
        <f t="shared" ref="K41:K53" si="52">SUM(L41:N41)</f>
        <v>0</v>
      </c>
      <c r="L41" s="18"/>
      <c r="M41" s="18"/>
      <c r="N41" s="18"/>
      <c r="O41" s="18">
        <f t="shared" ref="O41:O53" si="53">SUM(P41:R41)</f>
        <v>0</v>
      </c>
      <c r="P41" s="18"/>
      <c r="Q41" s="18"/>
      <c r="R41" s="18"/>
      <c r="S41" s="22">
        <f t="shared" ref="S41:S53" si="54">O41+K41+G41+C41</f>
        <v>0</v>
      </c>
    </row>
    <row r="42" spans="1:19" ht="20" customHeight="1" x14ac:dyDescent="0.25">
      <c r="A42" s="17" t="s">
        <v>59</v>
      </c>
      <c r="B42" s="23"/>
      <c r="C42" s="18">
        <f t="shared" si="50"/>
        <v>0</v>
      </c>
      <c r="D42" s="18"/>
      <c r="E42" s="18"/>
      <c r="F42" s="18"/>
      <c r="G42" s="18">
        <f t="shared" si="51"/>
        <v>0</v>
      </c>
      <c r="H42" s="18"/>
      <c r="I42" s="18"/>
      <c r="J42" s="18"/>
      <c r="K42" s="18">
        <f t="shared" si="52"/>
        <v>0</v>
      </c>
      <c r="L42" s="18"/>
      <c r="M42" s="18"/>
      <c r="N42" s="18"/>
      <c r="O42" s="18">
        <f t="shared" si="53"/>
        <v>0</v>
      </c>
      <c r="P42" s="18"/>
      <c r="Q42" s="18"/>
      <c r="R42" s="18"/>
      <c r="S42" s="22">
        <f t="shared" si="54"/>
        <v>0</v>
      </c>
    </row>
    <row r="43" spans="1:19" ht="20" customHeight="1" x14ac:dyDescent="0.25">
      <c r="A43" s="17" t="s">
        <v>60</v>
      </c>
      <c r="B43" s="23"/>
      <c r="C43" s="18">
        <f t="shared" si="50"/>
        <v>0</v>
      </c>
      <c r="D43" s="18"/>
      <c r="E43" s="18"/>
      <c r="F43" s="18"/>
      <c r="G43" s="18">
        <f t="shared" si="51"/>
        <v>0</v>
      </c>
      <c r="H43" s="18"/>
      <c r="I43" s="18"/>
      <c r="J43" s="18"/>
      <c r="K43" s="18">
        <f t="shared" si="52"/>
        <v>0</v>
      </c>
      <c r="L43" s="18"/>
      <c r="M43" s="18"/>
      <c r="N43" s="18"/>
      <c r="O43" s="18">
        <f t="shared" si="53"/>
        <v>0</v>
      </c>
      <c r="P43" s="18"/>
      <c r="Q43" s="18"/>
      <c r="R43" s="18"/>
      <c r="S43" s="22">
        <f t="shared" si="54"/>
        <v>0</v>
      </c>
    </row>
    <row r="44" spans="1:19" ht="20" customHeight="1" x14ac:dyDescent="0.25">
      <c r="A44" s="24" t="s">
        <v>61</v>
      </c>
      <c r="B44" s="25"/>
      <c r="C44" s="26">
        <f t="shared" si="50"/>
        <v>0</v>
      </c>
      <c r="D44" s="26">
        <f t="shared" ref="D44:F44" si="55">SUM(D41:D43)</f>
        <v>0</v>
      </c>
      <c r="E44" s="26">
        <f t="shared" si="55"/>
        <v>0</v>
      </c>
      <c r="F44" s="26">
        <f t="shared" si="55"/>
        <v>0</v>
      </c>
      <c r="G44" s="26">
        <f t="shared" si="51"/>
        <v>0</v>
      </c>
      <c r="H44" s="26">
        <f t="shared" ref="H44:J44" si="56">SUM(H41:H43)</f>
        <v>0</v>
      </c>
      <c r="I44" s="26">
        <f t="shared" si="56"/>
        <v>0</v>
      </c>
      <c r="J44" s="26">
        <f t="shared" si="56"/>
        <v>0</v>
      </c>
      <c r="K44" s="26">
        <f t="shared" si="52"/>
        <v>0</v>
      </c>
      <c r="L44" s="26">
        <f t="shared" ref="L44:N44" si="57">SUM(L41:L43)</f>
        <v>0</v>
      </c>
      <c r="M44" s="26">
        <f t="shared" si="57"/>
        <v>0</v>
      </c>
      <c r="N44" s="26">
        <f t="shared" si="57"/>
        <v>0</v>
      </c>
      <c r="O44" s="26">
        <f t="shared" si="53"/>
        <v>0</v>
      </c>
      <c r="P44" s="26">
        <f t="shared" ref="P44:R44" si="58">SUM(P41:P43)</f>
        <v>0</v>
      </c>
      <c r="Q44" s="26">
        <f t="shared" si="58"/>
        <v>0</v>
      </c>
      <c r="R44" s="26">
        <f t="shared" si="58"/>
        <v>0</v>
      </c>
      <c r="S44" s="27">
        <f t="shared" si="54"/>
        <v>0</v>
      </c>
    </row>
    <row r="45" spans="1:19" ht="20" customHeight="1" x14ac:dyDescent="0.25">
      <c r="A45" s="29" t="s">
        <v>62</v>
      </c>
      <c r="B45" s="23"/>
      <c r="C45" s="18">
        <f t="shared" si="50"/>
        <v>0</v>
      </c>
      <c r="D45" s="18"/>
      <c r="E45" s="18"/>
      <c r="F45" s="18"/>
      <c r="G45" s="18">
        <f t="shared" si="51"/>
        <v>0</v>
      </c>
      <c r="H45" s="18"/>
      <c r="I45" s="18"/>
      <c r="J45" s="18"/>
      <c r="K45" s="18">
        <f t="shared" si="52"/>
        <v>0</v>
      </c>
      <c r="L45" s="18"/>
      <c r="M45" s="18"/>
      <c r="N45" s="18"/>
      <c r="O45" s="18">
        <f t="shared" si="53"/>
        <v>0</v>
      </c>
      <c r="P45" s="18"/>
      <c r="Q45" s="18"/>
      <c r="R45" s="18"/>
      <c r="S45" s="22">
        <f t="shared" si="54"/>
        <v>0</v>
      </c>
    </row>
    <row r="46" spans="1:19" ht="20" customHeight="1" x14ac:dyDescent="0.25">
      <c r="A46" s="17" t="s">
        <v>63</v>
      </c>
      <c r="B46" s="37"/>
      <c r="C46" s="18">
        <f t="shared" si="50"/>
        <v>0</v>
      </c>
      <c r="D46" s="18"/>
      <c r="E46" s="18"/>
      <c r="F46" s="18"/>
      <c r="G46" s="18">
        <f t="shared" si="51"/>
        <v>0</v>
      </c>
      <c r="H46" s="18"/>
      <c r="I46" s="18"/>
      <c r="J46" s="18"/>
      <c r="K46" s="18">
        <f t="shared" si="52"/>
        <v>0</v>
      </c>
      <c r="L46" s="18"/>
      <c r="M46" s="18"/>
      <c r="N46" s="18"/>
      <c r="O46" s="18">
        <f t="shared" si="53"/>
        <v>0</v>
      </c>
      <c r="P46" s="18"/>
      <c r="Q46" s="18"/>
      <c r="R46" s="18"/>
      <c r="S46" s="22">
        <f t="shared" si="54"/>
        <v>0</v>
      </c>
    </row>
    <row r="47" spans="1:19" ht="20" customHeight="1" x14ac:dyDescent="0.25">
      <c r="A47" s="29" t="s">
        <v>64</v>
      </c>
      <c r="B47" s="23"/>
      <c r="C47" s="18">
        <f t="shared" si="50"/>
        <v>0</v>
      </c>
      <c r="D47" s="18"/>
      <c r="E47" s="18"/>
      <c r="F47" s="18"/>
      <c r="G47" s="18">
        <f t="shared" si="51"/>
        <v>0</v>
      </c>
      <c r="H47" s="18"/>
      <c r="I47" s="18"/>
      <c r="J47" s="18"/>
      <c r="K47" s="18">
        <f t="shared" si="52"/>
        <v>0</v>
      </c>
      <c r="L47" s="18"/>
      <c r="M47" s="18"/>
      <c r="N47" s="18"/>
      <c r="O47" s="18">
        <f t="shared" si="53"/>
        <v>0</v>
      </c>
      <c r="P47" s="18"/>
      <c r="Q47" s="18"/>
      <c r="R47" s="18"/>
      <c r="S47" s="22">
        <f t="shared" si="54"/>
        <v>0</v>
      </c>
    </row>
    <row r="48" spans="1:19" ht="20" customHeight="1" x14ac:dyDescent="0.25">
      <c r="A48" s="29" t="s">
        <v>65</v>
      </c>
      <c r="B48" s="23"/>
      <c r="C48" s="18">
        <f t="shared" si="50"/>
        <v>0</v>
      </c>
      <c r="D48" s="18"/>
      <c r="E48" s="18"/>
      <c r="F48" s="18"/>
      <c r="G48" s="18">
        <f t="shared" si="51"/>
        <v>0</v>
      </c>
      <c r="H48" s="18"/>
      <c r="I48" s="18"/>
      <c r="J48" s="18"/>
      <c r="K48" s="18">
        <f t="shared" si="52"/>
        <v>0</v>
      </c>
      <c r="L48" s="18"/>
      <c r="M48" s="18"/>
      <c r="N48" s="18"/>
      <c r="O48" s="18">
        <f t="shared" si="53"/>
        <v>0</v>
      </c>
      <c r="P48" s="18"/>
      <c r="Q48" s="18"/>
      <c r="R48" s="18"/>
      <c r="S48" s="22">
        <f t="shared" si="54"/>
        <v>0</v>
      </c>
    </row>
    <row r="49" spans="1:19" ht="20" customHeight="1" x14ac:dyDescent="0.25">
      <c r="A49" s="33" t="s">
        <v>66</v>
      </c>
      <c r="B49" s="25"/>
      <c r="C49" s="26">
        <f t="shared" si="50"/>
        <v>0</v>
      </c>
      <c r="D49" s="26">
        <f t="shared" ref="D49:F49" si="59">SUM(D45:D48)</f>
        <v>0</v>
      </c>
      <c r="E49" s="26">
        <f t="shared" si="59"/>
        <v>0</v>
      </c>
      <c r="F49" s="26">
        <f t="shared" si="59"/>
        <v>0</v>
      </c>
      <c r="G49" s="26">
        <f t="shared" si="51"/>
        <v>0</v>
      </c>
      <c r="H49" s="26">
        <f t="shared" ref="H49:J49" si="60">SUM(H45:H48)</f>
        <v>0</v>
      </c>
      <c r="I49" s="26">
        <f t="shared" si="60"/>
        <v>0</v>
      </c>
      <c r="J49" s="26">
        <f t="shared" si="60"/>
        <v>0</v>
      </c>
      <c r="K49" s="26">
        <f t="shared" si="52"/>
        <v>0</v>
      </c>
      <c r="L49" s="26">
        <f t="shared" ref="L49:N49" si="61">SUM(L45:L48)</f>
        <v>0</v>
      </c>
      <c r="M49" s="26">
        <f t="shared" si="61"/>
        <v>0</v>
      </c>
      <c r="N49" s="26">
        <f t="shared" si="61"/>
        <v>0</v>
      </c>
      <c r="O49" s="26">
        <f t="shared" si="53"/>
        <v>0</v>
      </c>
      <c r="P49" s="26">
        <f t="shared" ref="P49:R49" si="62">SUM(P45:P48)</f>
        <v>0</v>
      </c>
      <c r="Q49" s="26">
        <f t="shared" si="62"/>
        <v>0</v>
      </c>
      <c r="R49" s="26">
        <f t="shared" si="62"/>
        <v>0</v>
      </c>
      <c r="S49" s="27">
        <f t="shared" si="54"/>
        <v>0</v>
      </c>
    </row>
    <row r="50" spans="1:19" ht="20" customHeight="1" x14ac:dyDescent="0.25">
      <c r="A50" s="34" t="s">
        <v>67</v>
      </c>
      <c r="B50" s="14"/>
      <c r="C50" s="18">
        <f t="shared" si="50"/>
        <v>0</v>
      </c>
      <c r="D50" s="18">
        <f t="shared" ref="D50:F50" si="63">D44-D49</f>
        <v>0</v>
      </c>
      <c r="E50" s="18">
        <f t="shared" si="63"/>
        <v>0</v>
      </c>
      <c r="F50" s="18">
        <f t="shared" si="63"/>
        <v>0</v>
      </c>
      <c r="G50" s="18">
        <f t="shared" si="51"/>
        <v>0</v>
      </c>
      <c r="H50" s="18">
        <f t="shared" ref="H50:J50" si="64">H44-H49</f>
        <v>0</v>
      </c>
      <c r="I50" s="18">
        <f t="shared" si="64"/>
        <v>0</v>
      </c>
      <c r="J50" s="18">
        <f t="shared" si="64"/>
        <v>0</v>
      </c>
      <c r="K50" s="18">
        <f t="shared" si="52"/>
        <v>0</v>
      </c>
      <c r="L50" s="18">
        <f t="shared" ref="L50:N50" si="65">L44-L49</f>
        <v>0</v>
      </c>
      <c r="M50" s="18">
        <f t="shared" si="65"/>
        <v>0</v>
      </c>
      <c r="N50" s="18">
        <f t="shared" si="65"/>
        <v>0</v>
      </c>
      <c r="O50" s="18">
        <f t="shared" si="53"/>
        <v>0</v>
      </c>
      <c r="P50" s="18">
        <f t="shared" ref="P50:R50" si="66">P44-P49</f>
        <v>0</v>
      </c>
      <c r="Q50" s="18">
        <f t="shared" si="66"/>
        <v>0</v>
      </c>
      <c r="R50" s="18">
        <f t="shared" si="66"/>
        <v>0</v>
      </c>
      <c r="S50" s="22">
        <f t="shared" si="54"/>
        <v>0</v>
      </c>
    </row>
    <row r="51" spans="1:19" ht="20" customHeight="1" x14ac:dyDescent="0.25">
      <c r="A51" s="33" t="s">
        <v>68</v>
      </c>
      <c r="B51" s="25"/>
      <c r="C51" s="26">
        <f t="shared" si="50"/>
        <v>0</v>
      </c>
      <c r="D51" s="26">
        <f t="shared" ref="D51:F51" si="67">D22+D38+D49</f>
        <v>0</v>
      </c>
      <c r="E51" s="26">
        <f t="shared" si="67"/>
        <v>0</v>
      </c>
      <c r="F51" s="26">
        <f t="shared" si="67"/>
        <v>0</v>
      </c>
      <c r="G51" s="26">
        <f t="shared" si="51"/>
        <v>0</v>
      </c>
      <c r="H51" s="26">
        <f t="shared" ref="H51:J51" si="68">H22+H38+H49</f>
        <v>0</v>
      </c>
      <c r="I51" s="26">
        <f t="shared" si="68"/>
        <v>0</v>
      </c>
      <c r="J51" s="26">
        <f t="shared" si="68"/>
        <v>0</v>
      </c>
      <c r="K51" s="26">
        <f t="shared" si="52"/>
        <v>0</v>
      </c>
      <c r="L51" s="26">
        <f t="shared" ref="L51:N51" si="69">L22+L38+L49</f>
        <v>0</v>
      </c>
      <c r="M51" s="26">
        <f t="shared" si="69"/>
        <v>0</v>
      </c>
      <c r="N51" s="26">
        <f t="shared" si="69"/>
        <v>0</v>
      </c>
      <c r="O51" s="26">
        <f t="shared" si="53"/>
        <v>0</v>
      </c>
      <c r="P51" s="26">
        <f t="shared" ref="P51:R51" si="70">P22+P38+P49</f>
        <v>0</v>
      </c>
      <c r="Q51" s="26">
        <f t="shared" si="70"/>
        <v>0</v>
      </c>
      <c r="R51" s="26">
        <f t="shared" si="70"/>
        <v>0</v>
      </c>
      <c r="S51" s="27">
        <f t="shared" si="54"/>
        <v>0</v>
      </c>
    </row>
    <row r="52" spans="1:19" ht="20" customHeight="1" x14ac:dyDescent="0.25">
      <c r="A52" s="38" t="s">
        <v>69</v>
      </c>
      <c r="B52" s="25"/>
      <c r="C52" s="26">
        <f t="shared" si="50"/>
        <v>0</v>
      </c>
      <c r="D52" s="26">
        <f t="shared" ref="D52:F52" si="71">D11+D31+D44</f>
        <v>0</v>
      </c>
      <c r="E52" s="26">
        <f t="shared" si="71"/>
        <v>0</v>
      </c>
      <c r="F52" s="26">
        <f t="shared" si="71"/>
        <v>0</v>
      </c>
      <c r="G52" s="26">
        <f t="shared" si="51"/>
        <v>0</v>
      </c>
      <c r="H52" s="26">
        <f t="shared" ref="H52:J52" si="72">H11+H31+H44</f>
        <v>0</v>
      </c>
      <c r="I52" s="26">
        <f t="shared" si="72"/>
        <v>0</v>
      </c>
      <c r="J52" s="26">
        <f t="shared" si="72"/>
        <v>0</v>
      </c>
      <c r="K52" s="26">
        <f t="shared" si="52"/>
        <v>0</v>
      </c>
      <c r="L52" s="26">
        <f t="shared" ref="L52:N52" si="73">L11+L31+L44</f>
        <v>0</v>
      </c>
      <c r="M52" s="26">
        <f t="shared" si="73"/>
        <v>0</v>
      </c>
      <c r="N52" s="26">
        <f t="shared" si="73"/>
        <v>0</v>
      </c>
      <c r="O52" s="26">
        <f t="shared" si="53"/>
        <v>0</v>
      </c>
      <c r="P52" s="26">
        <f t="shared" ref="P52:R52" si="74">P11+P31+P44</f>
        <v>0</v>
      </c>
      <c r="Q52" s="26">
        <f t="shared" si="74"/>
        <v>0</v>
      </c>
      <c r="R52" s="26">
        <f t="shared" si="74"/>
        <v>0</v>
      </c>
      <c r="S52" s="27">
        <f t="shared" si="54"/>
        <v>0</v>
      </c>
    </row>
    <row r="53" spans="1:19" ht="20" customHeight="1" x14ac:dyDescent="0.25">
      <c r="A53" s="39" t="s">
        <v>70</v>
      </c>
      <c r="B53" s="14"/>
      <c r="C53" s="18">
        <f t="shared" si="50"/>
        <v>0</v>
      </c>
      <c r="D53" s="18">
        <f t="shared" ref="D53:F53" si="75">D52-D51</f>
        <v>0</v>
      </c>
      <c r="E53" s="18">
        <f t="shared" si="75"/>
        <v>0</v>
      </c>
      <c r="F53" s="18">
        <f t="shared" si="75"/>
        <v>0</v>
      </c>
      <c r="G53" s="18">
        <f t="shared" si="51"/>
        <v>0</v>
      </c>
      <c r="H53" s="18">
        <f t="shared" ref="H53:J53" si="76">H52-H51</f>
        <v>0</v>
      </c>
      <c r="I53" s="18">
        <f t="shared" si="76"/>
        <v>0</v>
      </c>
      <c r="J53" s="18">
        <f t="shared" si="76"/>
        <v>0</v>
      </c>
      <c r="K53" s="18">
        <f t="shared" si="52"/>
        <v>0</v>
      </c>
      <c r="L53" s="18">
        <f t="shared" ref="L53:N53" si="77">L52-L51</f>
        <v>0</v>
      </c>
      <c r="M53" s="18">
        <f t="shared" si="77"/>
        <v>0</v>
      </c>
      <c r="N53" s="18">
        <f t="shared" si="77"/>
        <v>0</v>
      </c>
      <c r="O53" s="18">
        <f t="shared" si="53"/>
        <v>0</v>
      </c>
      <c r="P53" s="18">
        <f t="shared" ref="P53:R53" si="78">P52-P51</f>
        <v>0</v>
      </c>
      <c r="Q53" s="18">
        <f t="shared" si="78"/>
        <v>0</v>
      </c>
      <c r="R53" s="18">
        <f t="shared" si="78"/>
        <v>0</v>
      </c>
      <c r="S53" s="22">
        <f t="shared" si="54"/>
        <v>0</v>
      </c>
    </row>
    <row r="54" spans="1:19" ht="20" customHeight="1" x14ac:dyDescent="0.25">
      <c r="A54" s="39" t="s">
        <v>71</v>
      </c>
      <c r="B54" s="14"/>
      <c r="C54" s="18">
        <v>0</v>
      </c>
      <c r="D54" s="18">
        <f>C54</f>
        <v>0</v>
      </c>
      <c r="E54" s="18">
        <f t="shared" ref="E54:J54" si="79">D55</f>
        <v>0</v>
      </c>
      <c r="F54" s="18">
        <f t="shared" si="79"/>
        <v>0</v>
      </c>
      <c r="G54" s="18">
        <f>J54</f>
        <v>0</v>
      </c>
      <c r="H54" s="18">
        <f>F55</f>
        <v>0</v>
      </c>
      <c r="I54" s="18">
        <f t="shared" si="79"/>
        <v>0</v>
      </c>
      <c r="J54" s="18">
        <f t="shared" si="79"/>
        <v>0</v>
      </c>
      <c r="K54" s="18">
        <f>N54</f>
        <v>0</v>
      </c>
      <c r="L54" s="18">
        <f>J55</f>
        <v>0</v>
      </c>
      <c r="M54" s="18">
        <f t="shared" ref="M54:R54" si="80">L55</f>
        <v>0</v>
      </c>
      <c r="N54" s="18">
        <f t="shared" si="80"/>
        <v>0</v>
      </c>
      <c r="O54" s="18">
        <f>R54</f>
        <v>0</v>
      </c>
      <c r="P54" s="18">
        <f>N55</f>
        <v>0</v>
      </c>
      <c r="Q54" s="18">
        <f t="shared" si="80"/>
        <v>0</v>
      </c>
      <c r="R54" s="18">
        <f t="shared" si="80"/>
        <v>0</v>
      </c>
      <c r="S54" s="22">
        <f>D54</f>
        <v>0</v>
      </c>
    </row>
    <row r="55" spans="1:19" ht="20" customHeight="1" thickBot="1" x14ac:dyDescent="0.3">
      <c r="A55" s="40" t="s">
        <v>72</v>
      </c>
      <c r="B55" s="41"/>
      <c r="C55" s="42">
        <f>F55</f>
        <v>0</v>
      </c>
      <c r="D55" s="42">
        <f t="shared" ref="D55:F55" si="81">D53+D54</f>
        <v>0</v>
      </c>
      <c r="E55" s="42">
        <f t="shared" si="81"/>
        <v>0</v>
      </c>
      <c r="F55" s="42">
        <f t="shared" si="81"/>
        <v>0</v>
      </c>
      <c r="G55" s="42">
        <f>J55</f>
        <v>0</v>
      </c>
      <c r="H55" s="42">
        <f t="shared" ref="H55:J55" si="82">H53+H54</f>
        <v>0</v>
      </c>
      <c r="I55" s="42">
        <f t="shared" si="82"/>
        <v>0</v>
      </c>
      <c r="J55" s="42">
        <f t="shared" si="82"/>
        <v>0</v>
      </c>
      <c r="K55" s="42">
        <f>N55</f>
        <v>0</v>
      </c>
      <c r="L55" s="42">
        <f t="shared" ref="L55:N55" si="83">L53+L54</f>
        <v>0</v>
      </c>
      <c r="M55" s="42">
        <f t="shared" si="83"/>
        <v>0</v>
      </c>
      <c r="N55" s="42">
        <f t="shared" si="83"/>
        <v>0</v>
      </c>
      <c r="O55" s="42">
        <f>R55</f>
        <v>0</v>
      </c>
      <c r="P55" s="42">
        <f t="shared" ref="P55:S55" si="84">P53+P54</f>
        <v>0</v>
      </c>
      <c r="Q55" s="42">
        <f t="shared" si="84"/>
        <v>0</v>
      </c>
      <c r="R55" s="42">
        <f t="shared" si="84"/>
        <v>0</v>
      </c>
      <c r="S55" s="43">
        <f t="shared" si="84"/>
        <v>0</v>
      </c>
    </row>
  </sheetData>
  <mergeCells count="1">
    <mergeCell ref="A1:S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32"/>
  <sheetViews>
    <sheetView showGridLines="0" topLeftCell="A17" workbookViewId="0">
      <selection activeCell="H26" sqref="H26"/>
    </sheetView>
  </sheetViews>
  <sheetFormatPr defaultRowHeight="14" x14ac:dyDescent="0.25"/>
  <cols>
    <col min="1" max="1" width="20.08984375" customWidth="1"/>
  </cols>
  <sheetData>
    <row r="1" spans="1:25" ht="35" customHeight="1" x14ac:dyDescent="0.25">
      <c r="A1" s="461" t="s">
        <v>73</v>
      </c>
      <c r="B1" s="461"/>
      <c r="C1" s="461"/>
      <c r="D1" s="461"/>
      <c r="E1" s="461"/>
      <c r="F1" s="461"/>
      <c r="G1" s="461"/>
      <c r="H1" s="461"/>
      <c r="I1" s="461"/>
      <c r="J1" s="461"/>
      <c r="K1" s="461"/>
      <c r="L1" s="461"/>
      <c r="M1" s="461"/>
      <c r="N1" s="461"/>
      <c r="O1" s="461"/>
      <c r="P1" s="461"/>
      <c r="Q1" s="461"/>
      <c r="R1" s="461"/>
      <c r="S1" s="461"/>
      <c r="T1" s="461"/>
      <c r="U1" s="461"/>
      <c r="V1" s="461"/>
      <c r="W1" s="461"/>
      <c r="X1" s="461"/>
      <c r="Y1" s="461"/>
    </row>
    <row r="2" spans="1:25" ht="15" thickBot="1" x14ac:dyDescent="0.3">
      <c r="A2" s="44" t="s">
        <v>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 t="s">
        <v>2</v>
      </c>
      <c r="M2" s="44"/>
      <c r="N2" s="44"/>
      <c r="O2" s="44"/>
      <c r="P2" s="44"/>
      <c r="Q2" s="44"/>
      <c r="R2" s="44"/>
      <c r="S2" s="44"/>
      <c r="T2" s="44"/>
      <c r="U2" s="44" t="s">
        <v>3</v>
      </c>
      <c r="V2" s="44"/>
      <c r="W2" s="44"/>
      <c r="X2" s="44"/>
      <c r="Y2" s="44"/>
    </row>
    <row r="3" spans="1:25" ht="19.5" customHeight="1" x14ac:dyDescent="0.25">
      <c r="A3" s="462" t="s">
        <v>74</v>
      </c>
      <c r="B3" s="464" t="s">
        <v>75</v>
      </c>
      <c r="C3" s="466" t="s">
        <v>76</v>
      </c>
      <c r="D3" s="468" t="s">
        <v>77</v>
      </c>
      <c r="E3" s="469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70"/>
      <c r="U3" s="471" t="s">
        <v>78</v>
      </c>
      <c r="V3" s="468"/>
      <c r="W3" s="472" t="s">
        <v>79</v>
      </c>
      <c r="X3" s="472" t="s">
        <v>80</v>
      </c>
      <c r="Y3" s="474" t="s">
        <v>81</v>
      </c>
    </row>
    <row r="4" spans="1:25" ht="21" customHeight="1" thickBot="1" x14ac:dyDescent="0.3">
      <c r="A4" s="463"/>
      <c r="B4" s="465"/>
      <c r="C4" s="467"/>
      <c r="D4" s="45" t="s">
        <v>82</v>
      </c>
      <c r="E4" s="46" t="s">
        <v>83</v>
      </c>
      <c r="F4" s="46" t="s">
        <v>84</v>
      </c>
      <c r="G4" s="47" t="s">
        <v>85</v>
      </c>
      <c r="H4" s="48" t="s">
        <v>86</v>
      </c>
      <c r="I4" s="46" t="s">
        <v>87</v>
      </c>
      <c r="J4" s="46" t="s">
        <v>88</v>
      </c>
      <c r="K4" s="49" t="s">
        <v>89</v>
      </c>
      <c r="L4" s="45" t="s">
        <v>90</v>
      </c>
      <c r="M4" s="46" t="s">
        <v>91</v>
      </c>
      <c r="N4" s="46" t="s">
        <v>92</v>
      </c>
      <c r="O4" s="47" t="s">
        <v>93</v>
      </c>
      <c r="P4" s="48" t="s">
        <v>94</v>
      </c>
      <c r="Q4" s="50" t="s">
        <v>95</v>
      </c>
      <c r="R4" s="50" t="s">
        <v>96</v>
      </c>
      <c r="S4" s="51" t="s">
        <v>97</v>
      </c>
      <c r="T4" s="52" t="s">
        <v>98</v>
      </c>
      <c r="U4" s="53" t="s">
        <v>99</v>
      </c>
      <c r="V4" s="54" t="s">
        <v>100</v>
      </c>
      <c r="W4" s="473"/>
      <c r="X4" s="473"/>
      <c r="Y4" s="475"/>
    </row>
    <row r="5" spans="1:25" ht="20" customHeight="1" thickTop="1" x14ac:dyDescent="0.25">
      <c r="A5" s="55" t="s">
        <v>101</v>
      </c>
      <c r="B5" s="56"/>
      <c r="C5" s="57"/>
      <c r="D5" s="58"/>
      <c r="E5" s="57"/>
      <c r="F5" s="57"/>
      <c r="G5" s="57"/>
      <c r="H5" s="58"/>
      <c r="I5" s="57"/>
      <c r="J5" s="57"/>
      <c r="K5" s="57"/>
      <c r="L5" s="58"/>
      <c r="M5" s="57"/>
      <c r="N5" s="57"/>
      <c r="O5" s="57"/>
      <c r="P5" s="58"/>
      <c r="Q5" s="57"/>
      <c r="R5" s="57"/>
      <c r="S5" s="59"/>
      <c r="T5" s="60"/>
      <c r="U5" s="59"/>
      <c r="V5" s="59"/>
      <c r="W5" s="59"/>
      <c r="X5" s="59"/>
      <c r="Y5" s="61"/>
    </row>
    <row r="6" spans="1:25" ht="20" customHeight="1" x14ac:dyDescent="0.25">
      <c r="A6" s="62" t="s">
        <v>102</v>
      </c>
      <c r="B6" s="63">
        <f t="shared" ref="B6:B12" si="0">T6</f>
        <v>0</v>
      </c>
      <c r="C6" s="64"/>
      <c r="D6" s="65">
        <f t="shared" ref="D6:D12" si="1">SUM(E6:G6)</f>
        <v>0</v>
      </c>
      <c r="E6" s="64"/>
      <c r="F6" s="64"/>
      <c r="G6" s="64"/>
      <c r="H6" s="65">
        <f t="shared" ref="H6:H12" si="2">SUM(I6:K6)</f>
        <v>0</v>
      </c>
      <c r="I6" s="64"/>
      <c r="J6" s="64"/>
      <c r="K6" s="64"/>
      <c r="L6" s="65">
        <f t="shared" ref="L6:L12" si="3">SUM(M6:O6)</f>
        <v>0</v>
      </c>
      <c r="M6" s="64"/>
      <c r="N6" s="64"/>
      <c r="O6" s="64"/>
      <c r="P6" s="65">
        <f t="shared" ref="P6:P12" si="4">SUM(Q6:S6)</f>
        <v>0</v>
      </c>
      <c r="Q6" s="64"/>
      <c r="R6" s="64"/>
      <c r="S6" s="64"/>
      <c r="T6" s="65">
        <f t="shared" ref="T6:T12" si="5">P6+L6+H6+D6</f>
        <v>0</v>
      </c>
      <c r="U6" s="15">
        <f t="shared" ref="U6:U12" si="6">B6-V6</f>
        <v>0</v>
      </c>
      <c r="V6" s="66">
        <f t="shared" ref="V6:V12" si="7">B6*100%</f>
        <v>0</v>
      </c>
      <c r="W6" s="66">
        <f t="shared" ref="W6:W12" si="8">B6-V6-U6</f>
        <v>0</v>
      </c>
      <c r="X6" s="66">
        <f t="shared" ref="X6:X12" si="9">B6-C6-T6</f>
        <v>0</v>
      </c>
      <c r="Y6" s="67"/>
    </row>
    <row r="7" spans="1:25" ht="20" customHeight="1" x14ac:dyDescent="0.25">
      <c r="A7" s="68" t="s">
        <v>103</v>
      </c>
      <c r="B7" s="63">
        <f t="shared" si="0"/>
        <v>0</v>
      </c>
      <c r="C7" s="64"/>
      <c r="D7" s="65">
        <f t="shared" si="1"/>
        <v>0</v>
      </c>
      <c r="E7" s="64"/>
      <c r="F7" s="64"/>
      <c r="G7" s="64"/>
      <c r="H7" s="65">
        <f t="shared" si="2"/>
        <v>0</v>
      </c>
      <c r="I7" s="64"/>
      <c r="J7" s="64"/>
      <c r="K7" s="64"/>
      <c r="L7" s="65">
        <f t="shared" si="3"/>
        <v>0</v>
      </c>
      <c r="M7" s="64"/>
      <c r="N7" s="64"/>
      <c r="O7" s="64"/>
      <c r="P7" s="65">
        <f t="shared" si="4"/>
        <v>0</v>
      </c>
      <c r="Q7" s="64"/>
      <c r="R7" s="64"/>
      <c r="S7" s="64"/>
      <c r="T7" s="65">
        <f t="shared" si="5"/>
        <v>0</v>
      </c>
      <c r="U7" s="15">
        <f t="shared" si="6"/>
        <v>0</v>
      </c>
      <c r="V7" s="66">
        <f t="shared" si="7"/>
        <v>0</v>
      </c>
      <c r="W7" s="66">
        <f t="shared" si="8"/>
        <v>0</v>
      </c>
      <c r="X7" s="66">
        <f t="shared" si="9"/>
        <v>0</v>
      </c>
      <c r="Y7" s="67"/>
    </row>
    <row r="8" spans="1:25" ht="20" customHeight="1" x14ac:dyDescent="0.25">
      <c r="A8" s="69" t="s">
        <v>104</v>
      </c>
      <c r="B8" s="63">
        <f t="shared" si="0"/>
        <v>0</v>
      </c>
      <c r="C8" s="64"/>
      <c r="D8" s="65">
        <f t="shared" si="1"/>
        <v>0</v>
      </c>
      <c r="E8" s="64"/>
      <c r="F8" s="64"/>
      <c r="G8" s="64"/>
      <c r="H8" s="65">
        <f t="shared" si="2"/>
        <v>0</v>
      </c>
      <c r="I8" s="64"/>
      <c r="J8" s="64"/>
      <c r="K8" s="64"/>
      <c r="L8" s="65">
        <f t="shared" si="3"/>
        <v>0</v>
      </c>
      <c r="M8" s="64"/>
      <c r="N8" s="64"/>
      <c r="O8" s="64"/>
      <c r="P8" s="65">
        <f t="shared" si="4"/>
        <v>0</v>
      </c>
      <c r="Q8" s="64"/>
      <c r="R8" s="64"/>
      <c r="S8" s="64"/>
      <c r="T8" s="65">
        <f t="shared" si="5"/>
        <v>0</v>
      </c>
      <c r="U8" s="15">
        <f t="shared" si="6"/>
        <v>0</v>
      </c>
      <c r="V8" s="66">
        <f t="shared" si="7"/>
        <v>0</v>
      </c>
      <c r="W8" s="66">
        <f t="shared" si="8"/>
        <v>0</v>
      </c>
      <c r="X8" s="66">
        <f t="shared" si="9"/>
        <v>0</v>
      </c>
      <c r="Y8" s="67"/>
    </row>
    <row r="9" spans="1:25" ht="20" customHeight="1" x14ac:dyDescent="0.25">
      <c r="A9" s="70" t="s">
        <v>105</v>
      </c>
      <c r="B9" s="63">
        <f t="shared" si="0"/>
        <v>0</v>
      </c>
      <c r="C9" s="64"/>
      <c r="D9" s="65">
        <f t="shared" si="1"/>
        <v>0</v>
      </c>
      <c r="E9" s="64"/>
      <c r="F9" s="64"/>
      <c r="G9" s="64"/>
      <c r="H9" s="65">
        <f t="shared" si="2"/>
        <v>0</v>
      </c>
      <c r="I9" s="64"/>
      <c r="J9" s="64"/>
      <c r="K9" s="64"/>
      <c r="L9" s="65">
        <f t="shared" si="3"/>
        <v>0</v>
      </c>
      <c r="M9" s="64"/>
      <c r="N9" s="64"/>
      <c r="O9" s="64"/>
      <c r="P9" s="65">
        <f t="shared" si="4"/>
        <v>0</v>
      </c>
      <c r="Q9" s="64"/>
      <c r="R9" s="64"/>
      <c r="S9" s="64"/>
      <c r="T9" s="65">
        <f t="shared" si="5"/>
        <v>0</v>
      </c>
      <c r="U9" s="15">
        <f t="shared" si="6"/>
        <v>0</v>
      </c>
      <c r="V9" s="66">
        <f t="shared" si="7"/>
        <v>0</v>
      </c>
      <c r="W9" s="66">
        <f t="shared" si="8"/>
        <v>0</v>
      </c>
      <c r="X9" s="66">
        <f t="shared" si="9"/>
        <v>0</v>
      </c>
      <c r="Y9" s="67"/>
    </row>
    <row r="10" spans="1:25" ht="20" customHeight="1" x14ac:dyDescent="0.25">
      <c r="A10" s="69" t="s">
        <v>106</v>
      </c>
      <c r="B10" s="63">
        <f t="shared" si="0"/>
        <v>0</v>
      </c>
      <c r="C10" s="64"/>
      <c r="D10" s="65">
        <f t="shared" si="1"/>
        <v>0</v>
      </c>
      <c r="E10" s="64"/>
      <c r="F10" s="64"/>
      <c r="G10" s="64"/>
      <c r="H10" s="65">
        <f t="shared" si="2"/>
        <v>0</v>
      </c>
      <c r="I10" s="64"/>
      <c r="J10" s="64"/>
      <c r="K10" s="64"/>
      <c r="L10" s="65">
        <f t="shared" si="3"/>
        <v>0</v>
      </c>
      <c r="M10" s="64"/>
      <c r="N10" s="64"/>
      <c r="O10" s="64"/>
      <c r="P10" s="65">
        <f t="shared" si="4"/>
        <v>0</v>
      </c>
      <c r="Q10" s="64"/>
      <c r="R10" s="64"/>
      <c r="S10" s="64"/>
      <c r="T10" s="65">
        <f t="shared" si="5"/>
        <v>0</v>
      </c>
      <c r="U10" s="15">
        <f t="shared" si="6"/>
        <v>0</v>
      </c>
      <c r="V10" s="66">
        <f t="shared" si="7"/>
        <v>0</v>
      </c>
      <c r="W10" s="66">
        <f t="shared" si="8"/>
        <v>0</v>
      </c>
      <c r="X10" s="66">
        <f t="shared" si="9"/>
        <v>0</v>
      </c>
      <c r="Y10" s="67"/>
    </row>
    <row r="11" spans="1:25" ht="20" customHeight="1" x14ac:dyDescent="0.25">
      <c r="A11" s="71" t="s">
        <v>107</v>
      </c>
      <c r="B11" s="63">
        <f t="shared" si="0"/>
        <v>0</v>
      </c>
      <c r="C11" s="64"/>
      <c r="D11" s="65">
        <f t="shared" si="1"/>
        <v>0</v>
      </c>
      <c r="E11" s="64"/>
      <c r="F11" s="64"/>
      <c r="G11" s="64"/>
      <c r="H11" s="65">
        <f t="shared" si="2"/>
        <v>0</v>
      </c>
      <c r="I11" s="64"/>
      <c r="J11" s="64"/>
      <c r="K11" s="64"/>
      <c r="L11" s="65">
        <f t="shared" si="3"/>
        <v>0</v>
      </c>
      <c r="M11" s="64"/>
      <c r="N11" s="64"/>
      <c r="O11" s="64"/>
      <c r="P11" s="65">
        <f t="shared" si="4"/>
        <v>0</v>
      </c>
      <c r="Q11" s="64"/>
      <c r="R11" s="64"/>
      <c r="S11" s="64"/>
      <c r="T11" s="65">
        <f t="shared" si="5"/>
        <v>0</v>
      </c>
      <c r="U11" s="15">
        <f t="shared" si="6"/>
        <v>0</v>
      </c>
      <c r="V11" s="66">
        <f t="shared" si="7"/>
        <v>0</v>
      </c>
      <c r="W11" s="66">
        <f t="shared" si="8"/>
        <v>0</v>
      </c>
      <c r="X11" s="66">
        <f t="shared" si="9"/>
        <v>0</v>
      </c>
      <c r="Y11" s="67"/>
    </row>
    <row r="12" spans="1:25" ht="20" customHeight="1" x14ac:dyDescent="0.25">
      <c r="A12" s="72" t="s">
        <v>108</v>
      </c>
      <c r="B12" s="63">
        <f t="shared" si="0"/>
        <v>0</v>
      </c>
      <c r="C12" s="64"/>
      <c r="D12" s="65">
        <f t="shared" si="1"/>
        <v>0</v>
      </c>
      <c r="E12" s="64"/>
      <c r="F12" s="64"/>
      <c r="G12" s="64"/>
      <c r="H12" s="65">
        <f t="shared" si="2"/>
        <v>0</v>
      </c>
      <c r="I12" s="64"/>
      <c r="J12" s="64"/>
      <c r="K12" s="64"/>
      <c r="L12" s="65">
        <f t="shared" si="3"/>
        <v>0</v>
      </c>
      <c r="M12" s="64"/>
      <c r="N12" s="64"/>
      <c r="O12" s="64"/>
      <c r="P12" s="65">
        <f t="shared" si="4"/>
        <v>0</v>
      </c>
      <c r="Q12" s="64"/>
      <c r="R12" s="64"/>
      <c r="S12" s="64"/>
      <c r="T12" s="65">
        <f t="shared" si="5"/>
        <v>0</v>
      </c>
      <c r="U12" s="15">
        <f t="shared" si="6"/>
        <v>0</v>
      </c>
      <c r="V12" s="66">
        <f t="shared" si="7"/>
        <v>0</v>
      </c>
      <c r="W12" s="66">
        <f t="shared" si="8"/>
        <v>0</v>
      </c>
      <c r="X12" s="66">
        <f t="shared" si="9"/>
        <v>0</v>
      </c>
      <c r="Y12" s="67"/>
    </row>
    <row r="13" spans="1:25" ht="20" customHeight="1" x14ac:dyDescent="0.25">
      <c r="A13" s="73" t="s">
        <v>109</v>
      </c>
      <c r="B13" s="74">
        <f t="shared" ref="B13:X13" si="10">SUM(B6:B12)</f>
        <v>0</v>
      </c>
      <c r="C13" s="75">
        <f t="shared" si="10"/>
        <v>0</v>
      </c>
      <c r="D13" s="76">
        <f t="shared" si="10"/>
        <v>0</v>
      </c>
      <c r="E13" s="75">
        <f t="shared" si="10"/>
        <v>0</v>
      </c>
      <c r="F13" s="75">
        <f t="shared" si="10"/>
        <v>0</v>
      </c>
      <c r="G13" s="75">
        <f t="shared" si="10"/>
        <v>0</v>
      </c>
      <c r="H13" s="76">
        <f t="shared" si="10"/>
        <v>0</v>
      </c>
      <c r="I13" s="75">
        <f t="shared" si="10"/>
        <v>0</v>
      </c>
      <c r="J13" s="75">
        <f t="shared" si="10"/>
        <v>0</v>
      </c>
      <c r="K13" s="75">
        <f t="shared" si="10"/>
        <v>0</v>
      </c>
      <c r="L13" s="76">
        <f t="shared" si="10"/>
        <v>0</v>
      </c>
      <c r="M13" s="75">
        <f t="shared" si="10"/>
        <v>0</v>
      </c>
      <c r="N13" s="75">
        <f t="shared" si="10"/>
        <v>0</v>
      </c>
      <c r="O13" s="75">
        <f t="shared" si="10"/>
        <v>0</v>
      </c>
      <c r="P13" s="76">
        <f t="shared" si="10"/>
        <v>0</v>
      </c>
      <c r="Q13" s="75">
        <f t="shared" si="10"/>
        <v>0</v>
      </c>
      <c r="R13" s="75">
        <f t="shared" si="10"/>
        <v>0</v>
      </c>
      <c r="S13" s="75">
        <f t="shared" si="10"/>
        <v>0</v>
      </c>
      <c r="T13" s="76">
        <f t="shared" si="10"/>
        <v>0</v>
      </c>
      <c r="U13" s="75">
        <f t="shared" si="10"/>
        <v>0</v>
      </c>
      <c r="V13" s="75">
        <f t="shared" si="10"/>
        <v>0</v>
      </c>
      <c r="W13" s="77">
        <f t="shared" si="10"/>
        <v>0</v>
      </c>
      <c r="X13" s="77">
        <f t="shared" si="10"/>
        <v>0</v>
      </c>
      <c r="Y13" s="78"/>
    </row>
    <row r="14" spans="1:25" ht="20" customHeight="1" x14ac:dyDescent="0.25">
      <c r="A14" s="55" t="s">
        <v>110</v>
      </c>
      <c r="B14" s="56"/>
      <c r="C14" s="57"/>
      <c r="D14" s="58"/>
      <c r="E14" s="57"/>
      <c r="F14" s="57"/>
      <c r="G14" s="57"/>
      <c r="H14" s="58"/>
      <c r="I14" s="57"/>
      <c r="J14" s="57"/>
      <c r="K14" s="57"/>
      <c r="L14" s="58"/>
      <c r="M14" s="57"/>
      <c r="N14" s="57"/>
      <c r="O14" s="57"/>
      <c r="P14" s="58"/>
      <c r="Q14" s="57"/>
      <c r="R14" s="57"/>
      <c r="S14" s="79"/>
      <c r="T14" s="80"/>
      <c r="U14" s="79"/>
      <c r="V14" s="81"/>
      <c r="W14" s="81"/>
      <c r="X14" s="81"/>
      <c r="Y14" s="82"/>
    </row>
    <row r="15" spans="1:25" ht="20" customHeight="1" x14ac:dyDescent="0.25">
      <c r="A15" s="83" t="s">
        <v>102</v>
      </c>
      <c r="B15" s="63">
        <f t="shared" ref="B15:B21" si="11">T15</f>
        <v>0</v>
      </c>
      <c r="C15" s="15"/>
      <c r="D15" s="65">
        <f t="shared" ref="D15:D21" si="12">SUM(E15:G15)</f>
        <v>0</v>
      </c>
      <c r="E15" s="64"/>
      <c r="F15" s="64"/>
      <c r="G15" s="64"/>
      <c r="H15" s="65">
        <f t="shared" ref="H15:H21" si="13">SUM(I15:K15)</f>
        <v>0</v>
      </c>
      <c r="I15" s="64"/>
      <c r="J15" s="64"/>
      <c r="K15" s="64"/>
      <c r="L15" s="65">
        <f t="shared" ref="L15:L21" si="14">SUM(M15:O15)</f>
        <v>0</v>
      </c>
      <c r="M15" s="64"/>
      <c r="N15" s="64"/>
      <c r="O15" s="64"/>
      <c r="P15" s="65">
        <f t="shared" ref="P15:P21" si="15">SUM(Q15:S15)</f>
        <v>0</v>
      </c>
      <c r="Q15" s="64"/>
      <c r="R15" s="64"/>
      <c r="S15" s="64"/>
      <c r="T15" s="65">
        <f t="shared" ref="T15:T21" si="16">P15+L15+H15+D15</f>
        <v>0</v>
      </c>
      <c r="U15" s="15">
        <f t="shared" ref="U15:U21" si="17">B15-V15</f>
        <v>0</v>
      </c>
      <c r="V15" s="66">
        <f t="shared" ref="V15:V21" si="18">B15*100%</f>
        <v>0</v>
      </c>
      <c r="W15" s="66">
        <f t="shared" ref="W15:W21" si="19">C15+T15-V15-U15</f>
        <v>0</v>
      </c>
      <c r="X15" s="66">
        <f t="shared" ref="X15:X21" si="20">B15-C15-T15</f>
        <v>0</v>
      </c>
      <c r="Y15" s="67"/>
    </row>
    <row r="16" spans="1:25" ht="20" customHeight="1" x14ac:dyDescent="0.25">
      <c r="A16" s="68" t="s">
        <v>103</v>
      </c>
      <c r="B16" s="63">
        <f t="shared" si="11"/>
        <v>0</v>
      </c>
      <c r="C16" s="15"/>
      <c r="D16" s="65">
        <f t="shared" si="12"/>
        <v>0</v>
      </c>
      <c r="E16" s="64"/>
      <c r="F16" s="64"/>
      <c r="G16" s="64"/>
      <c r="H16" s="65">
        <f t="shared" si="13"/>
        <v>0</v>
      </c>
      <c r="I16" s="64"/>
      <c r="J16" s="64"/>
      <c r="K16" s="64"/>
      <c r="L16" s="65">
        <f t="shared" si="14"/>
        <v>0</v>
      </c>
      <c r="M16" s="64"/>
      <c r="N16" s="64"/>
      <c r="O16" s="64"/>
      <c r="P16" s="65">
        <f t="shared" si="15"/>
        <v>0</v>
      </c>
      <c r="Q16" s="64"/>
      <c r="R16" s="64"/>
      <c r="S16" s="64"/>
      <c r="T16" s="65">
        <f t="shared" si="16"/>
        <v>0</v>
      </c>
      <c r="U16" s="15">
        <f t="shared" si="17"/>
        <v>0</v>
      </c>
      <c r="V16" s="66">
        <f t="shared" si="18"/>
        <v>0</v>
      </c>
      <c r="W16" s="66">
        <f t="shared" si="19"/>
        <v>0</v>
      </c>
      <c r="X16" s="66">
        <f t="shared" si="20"/>
        <v>0</v>
      </c>
      <c r="Y16" s="67"/>
    </row>
    <row r="17" spans="1:25" ht="20" customHeight="1" x14ac:dyDescent="0.25">
      <c r="A17" s="69" t="s">
        <v>104</v>
      </c>
      <c r="B17" s="63">
        <f t="shared" si="11"/>
        <v>0</v>
      </c>
      <c r="C17" s="15"/>
      <c r="D17" s="65">
        <f t="shared" si="12"/>
        <v>0</v>
      </c>
      <c r="E17" s="64"/>
      <c r="F17" s="64"/>
      <c r="G17" s="64"/>
      <c r="H17" s="65">
        <f t="shared" si="13"/>
        <v>0</v>
      </c>
      <c r="I17" s="64"/>
      <c r="J17" s="64"/>
      <c r="K17" s="64"/>
      <c r="L17" s="65">
        <f t="shared" si="14"/>
        <v>0</v>
      </c>
      <c r="M17" s="64"/>
      <c r="N17" s="64"/>
      <c r="O17" s="64"/>
      <c r="P17" s="65">
        <f t="shared" si="15"/>
        <v>0</v>
      </c>
      <c r="Q17" s="64"/>
      <c r="R17" s="64"/>
      <c r="S17" s="64"/>
      <c r="T17" s="65">
        <f t="shared" si="16"/>
        <v>0</v>
      </c>
      <c r="U17" s="15">
        <f t="shared" si="17"/>
        <v>0</v>
      </c>
      <c r="V17" s="66">
        <f t="shared" si="18"/>
        <v>0</v>
      </c>
      <c r="W17" s="66">
        <f t="shared" si="19"/>
        <v>0</v>
      </c>
      <c r="X17" s="66">
        <f t="shared" si="20"/>
        <v>0</v>
      </c>
      <c r="Y17" s="67"/>
    </row>
    <row r="18" spans="1:25" ht="20" customHeight="1" x14ac:dyDescent="0.25">
      <c r="A18" s="70" t="s">
        <v>105</v>
      </c>
      <c r="B18" s="63">
        <f t="shared" si="11"/>
        <v>0</v>
      </c>
      <c r="C18" s="15"/>
      <c r="D18" s="65">
        <f t="shared" si="12"/>
        <v>0</v>
      </c>
      <c r="E18" s="64"/>
      <c r="F18" s="64"/>
      <c r="G18" s="64"/>
      <c r="H18" s="65">
        <f t="shared" si="13"/>
        <v>0</v>
      </c>
      <c r="I18" s="64"/>
      <c r="J18" s="64"/>
      <c r="K18" s="64"/>
      <c r="L18" s="65">
        <f t="shared" si="14"/>
        <v>0</v>
      </c>
      <c r="M18" s="64"/>
      <c r="N18" s="64"/>
      <c r="O18" s="64"/>
      <c r="P18" s="65">
        <f t="shared" si="15"/>
        <v>0</v>
      </c>
      <c r="Q18" s="64"/>
      <c r="R18" s="64"/>
      <c r="S18" s="64"/>
      <c r="T18" s="65">
        <f t="shared" si="16"/>
        <v>0</v>
      </c>
      <c r="U18" s="15">
        <f t="shared" si="17"/>
        <v>0</v>
      </c>
      <c r="V18" s="66">
        <f t="shared" si="18"/>
        <v>0</v>
      </c>
      <c r="W18" s="66">
        <f t="shared" si="19"/>
        <v>0</v>
      </c>
      <c r="X18" s="66">
        <f t="shared" si="20"/>
        <v>0</v>
      </c>
      <c r="Y18" s="67"/>
    </row>
    <row r="19" spans="1:25" ht="20" customHeight="1" x14ac:dyDescent="0.25">
      <c r="A19" s="69" t="s">
        <v>106</v>
      </c>
      <c r="B19" s="63">
        <f t="shared" si="11"/>
        <v>0</v>
      </c>
      <c r="C19" s="15"/>
      <c r="D19" s="65">
        <f t="shared" si="12"/>
        <v>0</v>
      </c>
      <c r="E19" s="64"/>
      <c r="F19" s="64"/>
      <c r="G19" s="64"/>
      <c r="H19" s="65">
        <f t="shared" si="13"/>
        <v>0</v>
      </c>
      <c r="I19" s="64"/>
      <c r="J19" s="64"/>
      <c r="K19" s="64"/>
      <c r="L19" s="65">
        <f t="shared" si="14"/>
        <v>0</v>
      </c>
      <c r="M19" s="64"/>
      <c r="N19" s="64"/>
      <c r="O19" s="64"/>
      <c r="P19" s="65">
        <f t="shared" si="15"/>
        <v>0</v>
      </c>
      <c r="Q19" s="64"/>
      <c r="R19" s="64"/>
      <c r="S19" s="64"/>
      <c r="T19" s="65">
        <f t="shared" si="16"/>
        <v>0</v>
      </c>
      <c r="U19" s="15">
        <f t="shared" si="17"/>
        <v>0</v>
      </c>
      <c r="V19" s="66">
        <f t="shared" si="18"/>
        <v>0</v>
      </c>
      <c r="W19" s="66">
        <f t="shared" si="19"/>
        <v>0</v>
      </c>
      <c r="X19" s="66">
        <f t="shared" si="20"/>
        <v>0</v>
      </c>
      <c r="Y19" s="67"/>
    </row>
    <row r="20" spans="1:25" ht="20" customHeight="1" x14ac:dyDescent="0.25">
      <c r="A20" s="69" t="s">
        <v>107</v>
      </c>
      <c r="B20" s="63">
        <f t="shared" si="11"/>
        <v>0</v>
      </c>
      <c r="C20" s="15"/>
      <c r="D20" s="65">
        <f t="shared" si="12"/>
        <v>0</v>
      </c>
      <c r="E20" s="64"/>
      <c r="F20" s="64"/>
      <c r="G20" s="64"/>
      <c r="H20" s="65">
        <f t="shared" si="13"/>
        <v>0</v>
      </c>
      <c r="I20" s="64"/>
      <c r="J20" s="64"/>
      <c r="K20" s="64"/>
      <c r="L20" s="65">
        <f t="shared" si="14"/>
        <v>0</v>
      </c>
      <c r="M20" s="64"/>
      <c r="N20" s="64"/>
      <c r="O20" s="64"/>
      <c r="P20" s="65">
        <f t="shared" si="15"/>
        <v>0</v>
      </c>
      <c r="Q20" s="64"/>
      <c r="R20" s="64"/>
      <c r="S20" s="64"/>
      <c r="T20" s="65">
        <f t="shared" si="16"/>
        <v>0</v>
      </c>
      <c r="U20" s="15">
        <f t="shared" si="17"/>
        <v>0</v>
      </c>
      <c r="V20" s="66">
        <f t="shared" si="18"/>
        <v>0</v>
      </c>
      <c r="W20" s="66">
        <f t="shared" si="19"/>
        <v>0</v>
      </c>
      <c r="X20" s="66">
        <f t="shared" si="20"/>
        <v>0</v>
      </c>
      <c r="Y20" s="67"/>
    </row>
    <row r="21" spans="1:25" ht="20" customHeight="1" x14ac:dyDescent="0.25">
      <c r="A21" s="72" t="s">
        <v>108</v>
      </c>
      <c r="B21" s="63">
        <f t="shared" si="11"/>
        <v>0</v>
      </c>
      <c r="C21" s="15"/>
      <c r="D21" s="65">
        <f t="shared" si="12"/>
        <v>0</v>
      </c>
      <c r="E21" s="64"/>
      <c r="F21" s="64"/>
      <c r="G21" s="64"/>
      <c r="H21" s="65">
        <f t="shared" si="13"/>
        <v>0</v>
      </c>
      <c r="I21" s="64"/>
      <c r="J21" s="64"/>
      <c r="K21" s="64"/>
      <c r="L21" s="65">
        <f t="shared" si="14"/>
        <v>0</v>
      </c>
      <c r="M21" s="64"/>
      <c r="N21" s="64"/>
      <c r="O21" s="64"/>
      <c r="P21" s="65">
        <f t="shared" si="15"/>
        <v>0</v>
      </c>
      <c r="Q21" s="64"/>
      <c r="R21" s="64"/>
      <c r="S21" s="64"/>
      <c r="T21" s="65">
        <f t="shared" si="16"/>
        <v>0</v>
      </c>
      <c r="U21" s="15">
        <f t="shared" si="17"/>
        <v>0</v>
      </c>
      <c r="V21" s="66">
        <f t="shared" si="18"/>
        <v>0</v>
      </c>
      <c r="W21" s="66">
        <f t="shared" si="19"/>
        <v>0</v>
      </c>
      <c r="X21" s="66">
        <f t="shared" si="20"/>
        <v>0</v>
      </c>
      <c r="Y21" s="67"/>
    </row>
    <row r="22" spans="1:25" ht="20" customHeight="1" x14ac:dyDescent="0.25">
      <c r="A22" s="73" t="s">
        <v>109</v>
      </c>
      <c r="B22" s="74">
        <f t="shared" ref="B22:X22" si="21">SUM(B15:B21)</f>
        <v>0</v>
      </c>
      <c r="C22" s="75">
        <f t="shared" si="21"/>
        <v>0</v>
      </c>
      <c r="D22" s="76">
        <f t="shared" si="21"/>
        <v>0</v>
      </c>
      <c r="E22" s="76">
        <f t="shared" si="21"/>
        <v>0</v>
      </c>
      <c r="F22" s="76">
        <f t="shared" si="21"/>
        <v>0</v>
      </c>
      <c r="G22" s="76">
        <f t="shared" si="21"/>
        <v>0</v>
      </c>
      <c r="H22" s="76">
        <f t="shared" si="21"/>
        <v>0</v>
      </c>
      <c r="I22" s="76">
        <f t="shared" si="21"/>
        <v>0</v>
      </c>
      <c r="J22" s="76">
        <f t="shared" si="21"/>
        <v>0</v>
      </c>
      <c r="K22" s="76">
        <f t="shared" si="21"/>
        <v>0</v>
      </c>
      <c r="L22" s="76">
        <f t="shared" si="21"/>
        <v>0</v>
      </c>
      <c r="M22" s="76">
        <f t="shared" si="21"/>
        <v>0</v>
      </c>
      <c r="N22" s="76">
        <f t="shared" si="21"/>
        <v>0</v>
      </c>
      <c r="O22" s="76">
        <f t="shared" si="21"/>
        <v>0</v>
      </c>
      <c r="P22" s="76">
        <f t="shared" si="21"/>
        <v>0</v>
      </c>
      <c r="Q22" s="76">
        <f t="shared" si="21"/>
        <v>0</v>
      </c>
      <c r="R22" s="76">
        <f t="shared" si="21"/>
        <v>0</v>
      </c>
      <c r="S22" s="76">
        <f t="shared" si="21"/>
        <v>0</v>
      </c>
      <c r="T22" s="84">
        <f t="shared" si="21"/>
        <v>0</v>
      </c>
      <c r="U22" s="85">
        <f t="shared" si="21"/>
        <v>0</v>
      </c>
      <c r="V22" s="77">
        <f t="shared" si="21"/>
        <v>0</v>
      </c>
      <c r="W22" s="77">
        <f t="shared" si="21"/>
        <v>0</v>
      </c>
      <c r="X22" s="77">
        <f t="shared" si="21"/>
        <v>0</v>
      </c>
      <c r="Y22" s="78"/>
    </row>
    <row r="23" spans="1:25" ht="20" customHeight="1" x14ac:dyDescent="0.25">
      <c r="A23" s="55" t="s">
        <v>111</v>
      </c>
      <c r="B23" s="56"/>
      <c r="C23" s="57"/>
      <c r="D23" s="58"/>
      <c r="E23" s="57"/>
      <c r="F23" s="57"/>
      <c r="G23" s="57"/>
      <c r="H23" s="58"/>
      <c r="I23" s="57"/>
      <c r="J23" s="57"/>
      <c r="K23" s="57"/>
      <c r="L23" s="58"/>
      <c r="M23" s="57"/>
      <c r="N23" s="57"/>
      <c r="O23" s="57"/>
      <c r="P23" s="58"/>
      <c r="Q23" s="57"/>
      <c r="R23" s="57"/>
      <c r="S23" s="79"/>
      <c r="T23" s="80"/>
      <c r="U23" s="79"/>
      <c r="V23" s="81"/>
      <c r="W23" s="81"/>
      <c r="X23" s="81"/>
      <c r="Y23" s="82"/>
    </row>
    <row r="24" spans="1:25" ht="20" customHeight="1" x14ac:dyDescent="0.25">
      <c r="A24" s="83" t="s">
        <v>102</v>
      </c>
      <c r="B24" s="63">
        <f t="shared" ref="B24:B30" si="22">T24</f>
        <v>0</v>
      </c>
      <c r="C24" s="15"/>
      <c r="D24" s="65">
        <f t="shared" ref="D24:D30" si="23">SUM(E24:G24)</f>
        <v>0</v>
      </c>
      <c r="E24" s="64"/>
      <c r="F24" s="64"/>
      <c r="G24" s="64"/>
      <c r="H24" s="65">
        <f t="shared" ref="H24:H30" si="24">SUM(I24:K24)</f>
        <v>0</v>
      </c>
      <c r="I24" s="64"/>
      <c r="J24" s="64"/>
      <c r="K24" s="64"/>
      <c r="L24" s="65">
        <f t="shared" ref="L24:L30" si="25">SUM(M24:O24)</f>
        <v>0</v>
      </c>
      <c r="M24" s="64"/>
      <c r="N24" s="64"/>
      <c r="O24" s="64"/>
      <c r="P24" s="65">
        <f t="shared" ref="P24:P30" si="26">SUM(Q24:S24)</f>
        <v>0</v>
      </c>
      <c r="Q24" s="64"/>
      <c r="R24" s="64"/>
      <c r="S24" s="64"/>
      <c r="T24" s="65">
        <f t="shared" ref="T24:T30" si="27">P24+L24+H24+D24</f>
        <v>0</v>
      </c>
      <c r="U24" s="15">
        <f t="shared" ref="U24:U30" si="28">B24-V24</f>
        <v>0</v>
      </c>
      <c r="V24" s="66">
        <f t="shared" ref="V24:V30" si="29">B24*100%</f>
        <v>0</v>
      </c>
      <c r="W24" s="66">
        <f t="shared" ref="W24:W30" si="30">C24+T24-V24-U24</f>
        <v>0</v>
      </c>
      <c r="X24" s="66">
        <f t="shared" ref="X24:X30" si="31">B24-C24-T24</f>
        <v>0</v>
      </c>
      <c r="Y24" s="67"/>
    </row>
    <row r="25" spans="1:25" ht="20" customHeight="1" x14ac:dyDescent="0.25">
      <c r="A25" s="68" t="s">
        <v>103</v>
      </c>
      <c r="B25" s="63">
        <f t="shared" si="22"/>
        <v>0</v>
      </c>
      <c r="C25" s="15"/>
      <c r="D25" s="65">
        <f t="shared" si="23"/>
        <v>0</v>
      </c>
      <c r="E25" s="64"/>
      <c r="F25" s="64"/>
      <c r="G25" s="64"/>
      <c r="H25" s="65">
        <f t="shared" si="24"/>
        <v>0</v>
      </c>
      <c r="I25" s="64"/>
      <c r="J25" s="64"/>
      <c r="K25" s="64"/>
      <c r="L25" s="65">
        <f t="shared" si="25"/>
        <v>0</v>
      </c>
      <c r="M25" s="64"/>
      <c r="N25" s="64"/>
      <c r="O25" s="64"/>
      <c r="P25" s="65">
        <f t="shared" si="26"/>
        <v>0</v>
      </c>
      <c r="Q25" s="64"/>
      <c r="R25" s="64"/>
      <c r="S25" s="64"/>
      <c r="T25" s="65">
        <f t="shared" si="27"/>
        <v>0</v>
      </c>
      <c r="U25" s="15">
        <f t="shared" si="28"/>
        <v>0</v>
      </c>
      <c r="V25" s="66">
        <f t="shared" si="29"/>
        <v>0</v>
      </c>
      <c r="W25" s="66">
        <f t="shared" si="30"/>
        <v>0</v>
      </c>
      <c r="X25" s="66">
        <f t="shared" si="31"/>
        <v>0</v>
      </c>
      <c r="Y25" s="67"/>
    </row>
    <row r="26" spans="1:25" ht="20" customHeight="1" x14ac:dyDescent="0.25">
      <c r="A26" s="69" t="s">
        <v>104</v>
      </c>
      <c r="B26" s="63">
        <f t="shared" si="22"/>
        <v>0</v>
      </c>
      <c r="C26" s="15"/>
      <c r="D26" s="65">
        <f t="shared" si="23"/>
        <v>0</v>
      </c>
      <c r="E26" s="64"/>
      <c r="F26" s="64"/>
      <c r="G26" s="64"/>
      <c r="H26" s="65">
        <f t="shared" si="24"/>
        <v>0</v>
      </c>
      <c r="I26" s="64"/>
      <c r="J26" s="64"/>
      <c r="K26" s="64"/>
      <c r="L26" s="65">
        <f t="shared" si="25"/>
        <v>0</v>
      </c>
      <c r="M26" s="64"/>
      <c r="N26" s="64"/>
      <c r="O26" s="64"/>
      <c r="P26" s="65">
        <f t="shared" si="26"/>
        <v>0</v>
      </c>
      <c r="Q26" s="64"/>
      <c r="R26" s="64"/>
      <c r="S26" s="64"/>
      <c r="T26" s="65">
        <f t="shared" si="27"/>
        <v>0</v>
      </c>
      <c r="U26" s="15">
        <f t="shared" si="28"/>
        <v>0</v>
      </c>
      <c r="V26" s="66">
        <f t="shared" si="29"/>
        <v>0</v>
      </c>
      <c r="W26" s="66">
        <f t="shared" si="30"/>
        <v>0</v>
      </c>
      <c r="X26" s="66">
        <f t="shared" si="31"/>
        <v>0</v>
      </c>
      <c r="Y26" s="67"/>
    </row>
    <row r="27" spans="1:25" ht="20" customHeight="1" x14ac:dyDescent="0.25">
      <c r="A27" s="70" t="s">
        <v>105</v>
      </c>
      <c r="B27" s="63">
        <f t="shared" si="22"/>
        <v>0</v>
      </c>
      <c r="C27" s="15"/>
      <c r="D27" s="65">
        <f t="shared" si="23"/>
        <v>0</v>
      </c>
      <c r="E27" s="64"/>
      <c r="F27" s="64"/>
      <c r="G27" s="64"/>
      <c r="H27" s="65">
        <f t="shared" si="24"/>
        <v>0</v>
      </c>
      <c r="I27" s="64"/>
      <c r="J27" s="64"/>
      <c r="K27" s="64"/>
      <c r="L27" s="65">
        <f t="shared" si="25"/>
        <v>0</v>
      </c>
      <c r="M27" s="64"/>
      <c r="N27" s="64"/>
      <c r="O27" s="64"/>
      <c r="P27" s="65">
        <f t="shared" si="26"/>
        <v>0</v>
      </c>
      <c r="Q27" s="64"/>
      <c r="R27" s="64"/>
      <c r="S27" s="64"/>
      <c r="T27" s="65">
        <f t="shared" si="27"/>
        <v>0</v>
      </c>
      <c r="U27" s="15">
        <f t="shared" si="28"/>
        <v>0</v>
      </c>
      <c r="V27" s="66">
        <f t="shared" si="29"/>
        <v>0</v>
      </c>
      <c r="W27" s="66">
        <f t="shared" si="30"/>
        <v>0</v>
      </c>
      <c r="X27" s="66">
        <f t="shared" si="31"/>
        <v>0</v>
      </c>
      <c r="Y27" s="67"/>
    </row>
    <row r="28" spans="1:25" ht="20" customHeight="1" x14ac:dyDescent="0.25">
      <c r="A28" s="69" t="s">
        <v>106</v>
      </c>
      <c r="B28" s="63">
        <f t="shared" si="22"/>
        <v>0</v>
      </c>
      <c r="C28" s="15"/>
      <c r="D28" s="65">
        <f t="shared" si="23"/>
        <v>0</v>
      </c>
      <c r="E28" s="64"/>
      <c r="F28" s="64"/>
      <c r="G28" s="64"/>
      <c r="H28" s="65">
        <f t="shared" si="24"/>
        <v>0</v>
      </c>
      <c r="I28" s="64"/>
      <c r="J28" s="64"/>
      <c r="K28" s="64"/>
      <c r="L28" s="65">
        <f t="shared" si="25"/>
        <v>0</v>
      </c>
      <c r="M28" s="64"/>
      <c r="N28" s="64"/>
      <c r="O28" s="64"/>
      <c r="P28" s="65">
        <f t="shared" si="26"/>
        <v>0</v>
      </c>
      <c r="Q28" s="64"/>
      <c r="R28" s="64"/>
      <c r="S28" s="64"/>
      <c r="T28" s="65">
        <f t="shared" si="27"/>
        <v>0</v>
      </c>
      <c r="U28" s="15">
        <f t="shared" si="28"/>
        <v>0</v>
      </c>
      <c r="V28" s="66">
        <f t="shared" si="29"/>
        <v>0</v>
      </c>
      <c r="W28" s="66">
        <f t="shared" si="30"/>
        <v>0</v>
      </c>
      <c r="X28" s="66">
        <f t="shared" si="31"/>
        <v>0</v>
      </c>
      <c r="Y28" s="67"/>
    </row>
    <row r="29" spans="1:25" ht="20" customHeight="1" x14ac:dyDescent="0.25">
      <c r="A29" s="69" t="s">
        <v>107</v>
      </c>
      <c r="B29" s="63">
        <f t="shared" si="22"/>
        <v>0</v>
      </c>
      <c r="C29" s="15"/>
      <c r="D29" s="65">
        <f t="shared" si="23"/>
        <v>0</v>
      </c>
      <c r="E29" s="64"/>
      <c r="F29" s="64"/>
      <c r="G29" s="64"/>
      <c r="H29" s="65">
        <f t="shared" si="24"/>
        <v>0</v>
      </c>
      <c r="I29" s="64"/>
      <c r="J29" s="64"/>
      <c r="K29" s="64"/>
      <c r="L29" s="65">
        <f t="shared" si="25"/>
        <v>0</v>
      </c>
      <c r="M29" s="64"/>
      <c r="N29" s="64"/>
      <c r="O29" s="64"/>
      <c r="P29" s="65">
        <f t="shared" si="26"/>
        <v>0</v>
      </c>
      <c r="Q29" s="64"/>
      <c r="R29" s="64"/>
      <c r="S29" s="64"/>
      <c r="T29" s="65">
        <f t="shared" si="27"/>
        <v>0</v>
      </c>
      <c r="U29" s="15">
        <f t="shared" si="28"/>
        <v>0</v>
      </c>
      <c r="V29" s="66">
        <f t="shared" si="29"/>
        <v>0</v>
      </c>
      <c r="W29" s="66">
        <f t="shared" si="30"/>
        <v>0</v>
      </c>
      <c r="X29" s="66">
        <f t="shared" si="31"/>
        <v>0</v>
      </c>
      <c r="Y29" s="67"/>
    </row>
    <row r="30" spans="1:25" ht="20" customHeight="1" x14ac:dyDescent="0.25">
      <c r="A30" s="72" t="s">
        <v>108</v>
      </c>
      <c r="B30" s="63">
        <f t="shared" si="22"/>
        <v>0</v>
      </c>
      <c r="C30" s="15"/>
      <c r="D30" s="65">
        <f t="shared" si="23"/>
        <v>0</v>
      </c>
      <c r="E30" s="64"/>
      <c r="F30" s="64"/>
      <c r="G30" s="64"/>
      <c r="H30" s="65">
        <f t="shared" si="24"/>
        <v>0</v>
      </c>
      <c r="I30" s="64"/>
      <c r="J30" s="64"/>
      <c r="K30" s="64"/>
      <c r="L30" s="65">
        <f t="shared" si="25"/>
        <v>0</v>
      </c>
      <c r="M30" s="64"/>
      <c r="N30" s="64"/>
      <c r="O30" s="64"/>
      <c r="P30" s="65">
        <f t="shared" si="26"/>
        <v>0</v>
      </c>
      <c r="Q30" s="64"/>
      <c r="R30" s="64"/>
      <c r="S30" s="64"/>
      <c r="T30" s="65">
        <f t="shared" si="27"/>
        <v>0</v>
      </c>
      <c r="U30" s="15">
        <f t="shared" si="28"/>
        <v>0</v>
      </c>
      <c r="V30" s="66">
        <f t="shared" si="29"/>
        <v>0</v>
      </c>
      <c r="W30" s="66">
        <f t="shared" si="30"/>
        <v>0</v>
      </c>
      <c r="X30" s="66">
        <f t="shared" si="31"/>
        <v>0</v>
      </c>
      <c r="Y30" s="67"/>
    </row>
    <row r="31" spans="1:25" ht="20" customHeight="1" x14ac:dyDescent="0.25">
      <c r="A31" s="73" t="s">
        <v>109</v>
      </c>
      <c r="B31" s="86">
        <f t="shared" ref="B31:X31" si="32">SUM(B24:B30)</f>
        <v>0</v>
      </c>
      <c r="C31" s="87">
        <f t="shared" si="32"/>
        <v>0</v>
      </c>
      <c r="D31" s="88">
        <f t="shared" si="32"/>
        <v>0</v>
      </c>
      <c r="E31" s="88">
        <f t="shared" si="32"/>
        <v>0</v>
      </c>
      <c r="F31" s="88">
        <f t="shared" si="32"/>
        <v>0</v>
      </c>
      <c r="G31" s="88">
        <f t="shared" si="32"/>
        <v>0</v>
      </c>
      <c r="H31" s="88">
        <f t="shared" si="32"/>
        <v>0</v>
      </c>
      <c r="I31" s="88">
        <f t="shared" si="32"/>
        <v>0</v>
      </c>
      <c r="J31" s="88">
        <f t="shared" si="32"/>
        <v>0</v>
      </c>
      <c r="K31" s="88">
        <f t="shared" si="32"/>
        <v>0</v>
      </c>
      <c r="L31" s="88">
        <f t="shared" si="32"/>
        <v>0</v>
      </c>
      <c r="M31" s="88">
        <f t="shared" si="32"/>
        <v>0</v>
      </c>
      <c r="N31" s="88">
        <f t="shared" si="32"/>
        <v>0</v>
      </c>
      <c r="O31" s="88">
        <f t="shared" si="32"/>
        <v>0</v>
      </c>
      <c r="P31" s="88">
        <f t="shared" si="32"/>
        <v>0</v>
      </c>
      <c r="Q31" s="88">
        <f t="shared" si="32"/>
        <v>0</v>
      </c>
      <c r="R31" s="88">
        <f t="shared" si="32"/>
        <v>0</v>
      </c>
      <c r="S31" s="88">
        <f t="shared" si="32"/>
        <v>0</v>
      </c>
      <c r="T31" s="89">
        <f t="shared" si="32"/>
        <v>0</v>
      </c>
      <c r="U31" s="90">
        <f t="shared" si="32"/>
        <v>0</v>
      </c>
      <c r="V31" s="91">
        <f t="shared" si="32"/>
        <v>0</v>
      </c>
      <c r="W31" s="91">
        <f t="shared" si="32"/>
        <v>0</v>
      </c>
      <c r="X31" s="91">
        <f t="shared" si="32"/>
        <v>0</v>
      </c>
      <c r="Y31" s="92"/>
    </row>
    <row r="32" spans="1:25" ht="20" customHeight="1" thickBot="1" x14ac:dyDescent="0.3">
      <c r="A32" s="93" t="s">
        <v>112</v>
      </c>
      <c r="B32" s="94">
        <f>B13+B22</f>
        <v>0</v>
      </c>
      <c r="C32" s="95">
        <f>C13+C22</f>
        <v>0</v>
      </c>
      <c r="D32" s="96">
        <f t="shared" ref="D32:X32" si="33">SUM(D13,D22,D31)</f>
        <v>0</v>
      </c>
      <c r="E32" s="96">
        <f t="shared" si="33"/>
        <v>0</v>
      </c>
      <c r="F32" s="96">
        <f t="shared" si="33"/>
        <v>0</v>
      </c>
      <c r="G32" s="96">
        <f t="shared" si="33"/>
        <v>0</v>
      </c>
      <c r="H32" s="96">
        <f t="shared" si="33"/>
        <v>0</v>
      </c>
      <c r="I32" s="96">
        <f t="shared" si="33"/>
        <v>0</v>
      </c>
      <c r="J32" s="96">
        <f t="shared" si="33"/>
        <v>0</v>
      </c>
      <c r="K32" s="96">
        <f t="shared" si="33"/>
        <v>0</v>
      </c>
      <c r="L32" s="96">
        <f t="shared" si="33"/>
        <v>0</v>
      </c>
      <c r="M32" s="96">
        <f t="shared" si="33"/>
        <v>0</v>
      </c>
      <c r="N32" s="96">
        <f t="shared" si="33"/>
        <v>0</v>
      </c>
      <c r="O32" s="96">
        <f t="shared" si="33"/>
        <v>0</v>
      </c>
      <c r="P32" s="96">
        <f t="shared" si="33"/>
        <v>0</v>
      </c>
      <c r="Q32" s="96">
        <f t="shared" si="33"/>
        <v>0</v>
      </c>
      <c r="R32" s="96">
        <f t="shared" si="33"/>
        <v>0</v>
      </c>
      <c r="S32" s="96">
        <f t="shared" si="33"/>
        <v>0</v>
      </c>
      <c r="T32" s="96">
        <f t="shared" si="33"/>
        <v>0</v>
      </c>
      <c r="U32" s="96">
        <f t="shared" si="33"/>
        <v>0</v>
      </c>
      <c r="V32" s="96">
        <f t="shared" si="33"/>
        <v>0</v>
      </c>
      <c r="W32" s="96">
        <f t="shared" si="33"/>
        <v>0</v>
      </c>
      <c r="X32" s="96">
        <f t="shared" si="33"/>
        <v>0</v>
      </c>
      <c r="Y32" s="97"/>
    </row>
  </sheetData>
  <mergeCells count="9">
    <mergeCell ref="A1:Y1"/>
    <mergeCell ref="A3:A4"/>
    <mergeCell ref="B3:B4"/>
    <mergeCell ref="C3:C4"/>
    <mergeCell ref="D3:T3"/>
    <mergeCell ref="U3:V3"/>
    <mergeCell ref="W3:W4"/>
    <mergeCell ref="X3:X4"/>
    <mergeCell ref="Y3:Y4"/>
  </mergeCells>
  <phoneticPr fontId="3" type="noConversion"/>
  <hyperlinks>
    <hyperlink ref="A6" location="'一-4-1开发成本'!A1" display="土地费"/>
    <hyperlink ref="A11" location="'一-4-2开发间接费用'!A1" display="开发间接费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98"/>
  <sheetViews>
    <sheetView showGridLines="0" topLeftCell="A22" workbookViewId="0">
      <selection activeCell="E37" sqref="E37"/>
    </sheetView>
  </sheetViews>
  <sheetFormatPr defaultRowHeight="14" x14ac:dyDescent="0.25"/>
  <cols>
    <col min="1" max="1" width="26.26953125" customWidth="1"/>
  </cols>
  <sheetData>
    <row r="1" spans="1:25" ht="29.5" customHeight="1" x14ac:dyDescent="0.25">
      <c r="A1" s="461" t="s">
        <v>113</v>
      </c>
      <c r="B1" s="461"/>
      <c r="C1" s="461"/>
      <c r="D1" s="461"/>
      <c r="E1" s="461"/>
      <c r="F1" s="461"/>
      <c r="G1" s="461"/>
      <c r="H1" s="461"/>
      <c r="I1" s="461"/>
      <c r="J1" s="461"/>
      <c r="K1" s="461"/>
      <c r="L1" s="461"/>
      <c r="M1" s="461"/>
      <c r="N1" s="461"/>
      <c r="O1" s="461"/>
      <c r="P1" s="461"/>
      <c r="Q1" s="461"/>
      <c r="R1" s="461"/>
      <c r="S1" s="461"/>
      <c r="T1" s="461"/>
      <c r="U1" s="461"/>
      <c r="V1" s="461"/>
      <c r="W1" s="461"/>
      <c r="X1" s="461"/>
      <c r="Y1" s="461"/>
    </row>
    <row r="2" spans="1:25" ht="28" customHeight="1" thickBot="1" x14ac:dyDescent="0.3">
      <c r="A2" s="44" t="s">
        <v>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 t="s">
        <v>2</v>
      </c>
      <c r="M2" s="44"/>
      <c r="N2" s="44"/>
      <c r="O2" s="44"/>
      <c r="P2" s="44"/>
      <c r="Q2" s="44"/>
      <c r="R2" s="44"/>
      <c r="S2" s="44"/>
      <c r="T2" s="44"/>
      <c r="U2" s="44" t="s">
        <v>3</v>
      </c>
      <c r="V2" s="44"/>
      <c r="W2" s="44"/>
      <c r="X2" s="44"/>
      <c r="Y2" s="44"/>
    </row>
    <row r="3" spans="1:25" ht="29.5" thickBot="1" x14ac:dyDescent="0.3">
      <c r="A3" s="98" t="s">
        <v>114</v>
      </c>
      <c r="B3" s="99" t="s">
        <v>115</v>
      </c>
      <c r="C3" s="100" t="s">
        <v>116</v>
      </c>
      <c r="D3" s="101" t="s">
        <v>6</v>
      </c>
      <c r="E3" s="102">
        <v>41275</v>
      </c>
      <c r="F3" s="102">
        <v>41306</v>
      </c>
      <c r="G3" s="103">
        <v>41334</v>
      </c>
      <c r="H3" s="104" t="s">
        <v>10</v>
      </c>
      <c r="I3" s="102">
        <v>41365</v>
      </c>
      <c r="J3" s="102">
        <v>41395</v>
      </c>
      <c r="K3" s="105">
        <v>41426</v>
      </c>
      <c r="L3" s="101" t="s">
        <v>14</v>
      </c>
      <c r="M3" s="102">
        <v>41456</v>
      </c>
      <c r="N3" s="102">
        <v>41487</v>
      </c>
      <c r="O3" s="103">
        <v>41518</v>
      </c>
      <c r="P3" s="104" t="s">
        <v>18</v>
      </c>
      <c r="Q3" s="102">
        <v>41548</v>
      </c>
      <c r="R3" s="102">
        <v>41579</v>
      </c>
      <c r="S3" s="105">
        <v>41609</v>
      </c>
      <c r="T3" s="106" t="s">
        <v>117</v>
      </c>
      <c r="U3" s="107" t="s">
        <v>118</v>
      </c>
      <c r="V3" s="107" t="s">
        <v>119</v>
      </c>
      <c r="W3" s="107" t="s">
        <v>120</v>
      </c>
      <c r="X3" s="108" t="s">
        <v>121</v>
      </c>
      <c r="Y3" s="109" t="s">
        <v>81</v>
      </c>
    </row>
    <row r="4" spans="1:25" ht="20" customHeight="1" thickTop="1" x14ac:dyDescent="0.25">
      <c r="A4" s="110" t="s">
        <v>122</v>
      </c>
      <c r="B4" s="111"/>
      <c r="C4" s="112"/>
      <c r="D4" s="113">
        <f>SUM(E4:G4)</f>
        <v>0</v>
      </c>
      <c r="E4" s="114"/>
      <c r="F4" s="114"/>
      <c r="G4" s="115"/>
      <c r="H4" s="116">
        <f t="shared" ref="H4:H9" si="0">SUM(I4:K4)</f>
        <v>0</v>
      </c>
      <c r="I4" s="114"/>
      <c r="J4" s="114"/>
      <c r="K4" s="112"/>
      <c r="L4" s="113">
        <f>SUM(M4:O4)</f>
        <v>0</v>
      </c>
      <c r="M4" s="114"/>
      <c r="N4" s="114"/>
      <c r="O4" s="115"/>
      <c r="P4" s="116">
        <f>SUM(Q4:S4)</f>
        <v>0</v>
      </c>
      <c r="Q4" s="114"/>
      <c r="R4" s="114"/>
      <c r="S4" s="112"/>
      <c r="T4" s="113">
        <f>D4+H4+L4+P4</f>
        <v>0</v>
      </c>
      <c r="U4" s="117"/>
      <c r="V4" s="117"/>
      <c r="W4" s="117">
        <f>T4-V4</f>
        <v>0</v>
      </c>
      <c r="X4" s="118" t="e">
        <f>W4/T4</f>
        <v>#DIV/0!</v>
      </c>
      <c r="Y4" s="119"/>
    </row>
    <row r="5" spans="1:25" ht="20" customHeight="1" x14ac:dyDescent="0.25">
      <c r="A5" s="120" t="s">
        <v>123</v>
      </c>
      <c r="B5" s="121"/>
      <c r="C5" s="122"/>
      <c r="D5" s="113">
        <f t="shared" ref="D5:D36" si="1">SUM(E5:G5)</f>
        <v>0</v>
      </c>
      <c r="E5" s="123"/>
      <c r="F5" s="123"/>
      <c r="G5" s="124"/>
      <c r="H5" s="116">
        <f t="shared" si="0"/>
        <v>0</v>
      </c>
      <c r="I5" s="123"/>
      <c r="J5" s="123"/>
      <c r="K5" s="125"/>
      <c r="L5" s="113">
        <f t="shared" ref="L5:L68" si="2">SUM(M5:O5)</f>
        <v>0</v>
      </c>
      <c r="M5" s="123"/>
      <c r="N5" s="123"/>
      <c r="O5" s="124"/>
      <c r="P5" s="116">
        <f t="shared" ref="P5:P68" si="3">SUM(Q5:S5)</f>
        <v>0</v>
      </c>
      <c r="Q5" s="123"/>
      <c r="R5" s="123"/>
      <c r="S5" s="125"/>
      <c r="T5" s="113">
        <f t="shared" ref="T5:T68" si="4">D5+H5+L5+P5</f>
        <v>0</v>
      </c>
      <c r="U5" s="126"/>
      <c r="V5" s="127"/>
      <c r="W5" s="117">
        <f>T5-V5</f>
        <v>0</v>
      </c>
      <c r="X5" s="118" t="e">
        <f>W5/T5</f>
        <v>#DIV/0!</v>
      </c>
      <c r="Y5" s="128"/>
    </row>
    <row r="6" spans="1:25" ht="20" customHeight="1" x14ac:dyDescent="0.25">
      <c r="A6" s="120" t="s">
        <v>124</v>
      </c>
      <c r="B6" s="121"/>
      <c r="C6" s="122"/>
      <c r="D6" s="113">
        <f t="shared" si="1"/>
        <v>0</v>
      </c>
      <c r="E6" s="123"/>
      <c r="F6" s="123"/>
      <c r="G6" s="124"/>
      <c r="H6" s="116">
        <f t="shared" si="0"/>
        <v>0</v>
      </c>
      <c r="I6" s="123"/>
      <c r="J6" s="123"/>
      <c r="K6" s="125"/>
      <c r="L6" s="113">
        <f t="shared" si="2"/>
        <v>0</v>
      </c>
      <c r="M6" s="123"/>
      <c r="N6" s="123"/>
      <c r="O6" s="124"/>
      <c r="P6" s="116">
        <f t="shared" si="3"/>
        <v>0</v>
      </c>
      <c r="Q6" s="123"/>
      <c r="R6" s="123"/>
      <c r="S6" s="125"/>
      <c r="T6" s="113">
        <f t="shared" si="4"/>
        <v>0</v>
      </c>
      <c r="U6" s="126"/>
      <c r="V6" s="127"/>
      <c r="W6" s="117">
        <f>T6-V6</f>
        <v>0</v>
      </c>
      <c r="X6" s="118" t="e">
        <f t="shared" ref="X6:X69" si="5">W6/T6</f>
        <v>#DIV/0!</v>
      </c>
      <c r="Y6" s="128"/>
    </row>
    <row r="7" spans="1:25" ht="20" customHeight="1" x14ac:dyDescent="0.25">
      <c r="A7" s="120" t="s">
        <v>125</v>
      </c>
      <c r="B7" s="121"/>
      <c r="C7" s="122"/>
      <c r="D7" s="113">
        <f t="shared" si="1"/>
        <v>0</v>
      </c>
      <c r="E7" s="123"/>
      <c r="F7" s="123"/>
      <c r="G7" s="124"/>
      <c r="H7" s="116">
        <f t="shared" si="0"/>
        <v>0</v>
      </c>
      <c r="I7" s="123"/>
      <c r="J7" s="123"/>
      <c r="K7" s="125"/>
      <c r="L7" s="113">
        <f t="shared" si="2"/>
        <v>0</v>
      </c>
      <c r="M7" s="123"/>
      <c r="N7" s="123"/>
      <c r="O7" s="124"/>
      <c r="P7" s="116">
        <f t="shared" si="3"/>
        <v>0</v>
      </c>
      <c r="Q7" s="123"/>
      <c r="R7" s="123"/>
      <c r="S7" s="125"/>
      <c r="T7" s="113">
        <f t="shared" si="4"/>
        <v>0</v>
      </c>
      <c r="U7" s="126"/>
      <c r="V7" s="127"/>
      <c r="W7" s="117">
        <f t="shared" ref="W7:W70" si="6">T7-V7</f>
        <v>0</v>
      </c>
      <c r="X7" s="118" t="e">
        <f t="shared" si="5"/>
        <v>#DIV/0!</v>
      </c>
      <c r="Y7" s="128"/>
    </row>
    <row r="8" spans="1:25" ht="20" customHeight="1" x14ac:dyDescent="0.25">
      <c r="A8" s="120" t="s">
        <v>126</v>
      </c>
      <c r="B8" s="121"/>
      <c r="C8" s="122"/>
      <c r="D8" s="113">
        <f t="shared" si="1"/>
        <v>0</v>
      </c>
      <c r="E8" s="123"/>
      <c r="F8" s="123"/>
      <c r="G8" s="124"/>
      <c r="H8" s="116">
        <f t="shared" si="0"/>
        <v>0</v>
      </c>
      <c r="I8" s="123"/>
      <c r="J8" s="123"/>
      <c r="K8" s="125"/>
      <c r="L8" s="113">
        <f t="shared" si="2"/>
        <v>0</v>
      </c>
      <c r="M8" s="123"/>
      <c r="N8" s="123"/>
      <c r="O8" s="124"/>
      <c r="P8" s="116">
        <f t="shared" si="3"/>
        <v>0</v>
      </c>
      <c r="Q8" s="123"/>
      <c r="R8" s="123"/>
      <c r="S8" s="125"/>
      <c r="T8" s="113">
        <f t="shared" si="4"/>
        <v>0</v>
      </c>
      <c r="U8" s="126"/>
      <c r="V8" s="127"/>
      <c r="W8" s="117">
        <f t="shared" si="6"/>
        <v>0</v>
      </c>
      <c r="X8" s="118" t="e">
        <f t="shared" si="5"/>
        <v>#DIV/0!</v>
      </c>
      <c r="Y8" s="128"/>
    </row>
    <row r="9" spans="1:25" ht="20" customHeight="1" x14ac:dyDescent="0.25">
      <c r="A9" s="129" t="s">
        <v>127</v>
      </c>
      <c r="B9" s="121"/>
      <c r="C9" s="122"/>
      <c r="D9" s="113">
        <f t="shared" si="1"/>
        <v>0</v>
      </c>
      <c r="E9" s="123"/>
      <c r="F9" s="123"/>
      <c r="G9" s="124"/>
      <c r="H9" s="116">
        <f t="shared" si="0"/>
        <v>0</v>
      </c>
      <c r="I9" s="123"/>
      <c r="J9" s="123"/>
      <c r="K9" s="125"/>
      <c r="L9" s="113">
        <f t="shared" si="2"/>
        <v>0</v>
      </c>
      <c r="M9" s="123"/>
      <c r="N9" s="123"/>
      <c r="O9" s="124"/>
      <c r="P9" s="116">
        <f t="shared" si="3"/>
        <v>0</v>
      </c>
      <c r="Q9" s="123"/>
      <c r="R9" s="123"/>
      <c r="S9" s="125"/>
      <c r="T9" s="113">
        <f t="shared" si="4"/>
        <v>0</v>
      </c>
      <c r="U9" s="126"/>
      <c r="V9" s="127"/>
      <c r="W9" s="117">
        <f t="shared" si="6"/>
        <v>0</v>
      </c>
      <c r="X9" s="118" t="e">
        <f t="shared" si="5"/>
        <v>#DIV/0!</v>
      </c>
      <c r="Y9" s="128"/>
    </row>
    <row r="10" spans="1:25" ht="20" customHeight="1" x14ac:dyDescent="0.25">
      <c r="A10" s="129" t="s">
        <v>128</v>
      </c>
      <c r="B10" s="121"/>
      <c r="C10" s="122"/>
      <c r="D10" s="113">
        <f t="shared" si="1"/>
        <v>0</v>
      </c>
      <c r="E10" s="123"/>
      <c r="F10" s="123"/>
      <c r="G10" s="124"/>
      <c r="H10" s="116">
        <f t="shared" ref="H10:H73" si="7">SUM(I10:K10)</f>
        <v>0</v>
      </c>
      <c r="I10" s="123"/>
      <c r="J10" s="123"/>
      <c r="K10" s="125"/>
      <c r="L10" s="113">
        <f t="shared" si="2"/>
        <v>0</v>
      </c>
      <c r="M10" s="123"/>
      <c r="N10" s="123"/>
      <c r="O10" s="124"/>
      <c r="P10" s="116">
        <f t="shared" si="3"/>
        <v>0</v>
      </c>
      <c r="Q10" s="123"/>
      <c r="R10" s="123"/>
      <c r="S10" s="125"/>
      <c r="T10" s="113">
        <f t="shared" si="4"/>
        <v>0</v>
      </c>
      <c r="U10" s="126"/>
      <c r="V10" s="127"/>
      <c r="W10" s="117">
        <f t="shared" si="6"/>
        <v>0</v>
      </c>
      <c r="X10" s="118" t="e">
        <f t="shared" si="5"/>
        <v>#DIV/0!</v>
      </c>
      <c r="Y10" s="128"/>
    </row>
    <row r="11" spans="1:25" ht="20" customHeight="1" x14ac:dyDescent="0.25">
      <c r="A11" s="129" t="s">
        <v>129</v>
      </c>
      <c r="B11" s="121"/>
      <c r="C11" s="122"/>
      <c r="D11" s="113">
        <f t="shared" si="1"/>
        <v>0</v>
      </c>
      <c r="E11" s="123"/>
      <c r="F11" s="123"/>
      <c r="G11" s="124"/>
      <c r="H11" s="116">
        <f t="shared" si="7"/>
        <v>0</v>
      </c>
      <c r="I11" s="123"/>
      <c r="J11" s="123"/>
      <c r="K11" s="125"/>
      <c r="L11" s="113">
        <f t="shared" si="2"/>
        <v>0</v>
      </c>
      <c r="M11" s="123"/>
      <c r="N11" s="123"/>
      <c r="O11" s="124"/>
      <c r="P11" s="116">
        <f t="shared" si="3"/>
        <v>0</v>
      </c>
      <c r="Q11" s="123"/>
      <c r="R11" s="123"/>
      <c r="S11" s="125"/>
      <c r="T11" s="113">
        <f t="shared" si="4"/>
        <v>0</v>
      </c>
      <c r="U11" s="126"/>
      <c r="V11" s="127"/>
      <c r="W11" s="117">
        <f t="shared" si="6"/>
        <v>0</v>
      </c>
      <c r="X11" s="118" t="e">
        <f t="shared" si="5"/>
        <v>#DIV/0!</v>
      </c>
      <c r="Y11" s="128"/>
    </row>
    <row r="12" spans="1:25" ht="20" customHeight="1" x14ac:dyDescent="0.25">
      <c r="A12" s="129" t="s">
        <v>130</v>
      </c>
      <c r="B12" s="121"/>
      <c r="C12" s="122"/>
      <c r="D12" s="113">
        <f t="shared" si="1"/>
        <v>0</v>
      </c>
      <c r="E12" s="123"/>
      <c r="F12" s="123"/>
      <c r="G12" s="124"/>
      <c r="H12" s="116">
        <f t="shared" si="7"/>
        <v>0</v>
      </c>
      <c r="I12" s="123"/>
      <c r="J12" s="123"/>
      <c r="K12" s="125"/>
      <c r="L12" s="113">
        <f t="shared" si="2"/>
        <v>0</v>
      </c>
      <c r="M12" s="123"/>
      <c r="N12" s="123"/>
      <c r="O12" s="124"/>
      <c r="P12" s="116">
        <f t="shared" si="3"/>
        <v>0</v>
      </c>
      <c r="Q12" s="123"/>
      <c r="R12" s="123"/>
      <c r="S12" s="125"/>
      <c r="T12" s="113">
        <f t="shared" si="4"/>
        <v>0</v>
      </c>
      <c r="U12" s="126"/>
      <c r="V12" s="127"/>
      <c r="W12" s="117">
        <f t="shared" si="6"/>
        <v>0</v>
      </c>
      <c r="X12" s="118" t="e">
        <f t="shared" si="5"/>
        <v>#DIV/0!</v>
      </c>
      <c r="Y12" s="128"/>
    </row>
    <row r="13" spans="1:25" ht="20" customHeight="1" x14ac:dyDescent="0.25">
      <c r="A13" s="129" t="s">
        <v>131</v>
      </c>
      <c r="B13" s="121"/>
      <c r="C13" s="122"/>
      <c r="D13" s="113">
        <f t="shared" si="1"/>
        <v>0</v>
      </c>
      <c r="E13" s="123"/>
      <c r="F13" s="123"/>
      <c r="G13" s="124"/>
      <c r="H13" s="116">
        <f t="shared" si="7"/>
        <v>0</v>
      </c>
      <c r="I13" s="123"/>
      <c r="J13" s="123"/>
      <c r="K13" s="125"/>
      <c r="L13" s="113">
        <f t="shared" si="2"/>
        <v>0</v>
      </c>
      <c r="M13" s="123"/>
      <c r="N13" s="123"/>
      <c r="O13" s="124"/>
      <c r="P13" s="116">
        <f t="shared" si="3"/>
        <v>0</v>
      </c>
      <c r="Q13" s="123"/>
      <c r="R13" s="123"/>
      <c r="S13" s="125"/>
      <c r="T13" s="113">
        <f t="shared" si="4"/>
        <v>0</v>
      </c>
      <c r="U13" s="126"/>
      <c r="V13" s="127"/>
      <c r="W13" s="117">
        <f t="shared" si="6"/>
        <v>0</v>
      </c>
      <c r="X13" s="118" t="e">
        <f t="shared" si="5"/>
        <v>#DIV/0!</v>
      </c>
      <c r="Y13" s="128"/>
    </row>
    <row r="14" spans="1:25" ht="20" customHeight="1" x14ac:dyDescent="0.25">
      <c r="A14" s="129" t="s">
        <v>132</v>
      </c>
      <c r="B14" s="121"/>
      <c r="C14" s="122"/>
      <c r="D14" s="113">
        <f t="shared" si="1"/>
        <v>0</v>
      </c>
      <c r="E14" s="123"/>
      <c r="F14" s="123"/>
      <c r="G14" s="124"/>
      <c r="H14" s="116">
        <f t="shared" si="7"/>
        <v>0</v>
      </c>
      <c r="I14" s="123"/>
      <c r="J14" s="123"/>
      <c r="K14" s="125"/>
      <c r="L14" s="113">
        <f t="shared" si="2"/>
        <v>0</v>
      </c>
      <c r="M14" s="123"/>
      <c r="N14" s="123"/>
      <c r="O14" s="124"/>
      <c r="P14" s="116">
        <f t="shared" si="3"/>
        <v>0</v>
      </c>
      <c r="Q14" s="123"/>
      <c r="R14" s="123"/>
      <c r="S14" s="125"/>
      <c r="T14" s="113">
        <f t="shared" si="4"/>
        <v>0</v>
      </c>
      <c r="U14" s="126"/>
      <c r="V14" s="127"/>
      <c r="W14" s="117">
        <f t="shared" si="6"/>
        <v>0</v>
      </c>
      <c r="X14" s="118" t="e">
        <f t="shared" si="5"/>
        <v>#DIV/0!</v>
      </c>
      <c r="Y14" s="128"/>
    </row>
    <row r="15" spans="1:25" ht="20" customHeight="1" x14ac:dyDescent="0.25">
      <c r="A15" s="130" t="s">
        <v>133</v>
      </c>
      <c r="B15" s="121"/>
      <c r="C15" s="122"/>
      <c r="D15" s="113">
        <f t="shared" si="1"/>
        <v>0</v>
      </c>
      <c r="E15" s="123"/>
      <c r="F15" s="123"/>
      <c r="G15" s="124"/>
      <c r="H15" s="116">
        <f t="shared" si="7"/>
        <v>0</v>
      </c>
      <c r="I15" s="123"/>
      <c r="J15" s="123"/>
      <c r="K15" s="125"/>
      <c r="L15" s="113">
        <f t="shared" si="2"/>
        <v>0</v>
      </c>
      <c r="M15" s="123"/>
      <c r="N15" s="123"/>
      <c r="O15" s="124"/>
      <c r="P15" s="116">
        <f t="shared" si="3"/>
        <v>0</v>
      </c>
      <c r="Q15" s="123"/>
      <c r="R15" s="123"/>
      <c r="S15" s="125"/>
      <c r="T15" s="113">
        <f t="shared" si="4"/>
        <v>0</v>
      </c>
      <c r="U15" s="126"/>
      <c r="V15" s="127"/>
      <c r="W15" s="117">
        <f t="shared" si="6"/>
        <v>0</v>
      </c>
      <c r="X15" s="118" t="e">
        <f t="shared" si="5"/>
        <v>#DIV/0!</v>
      </c>
      <c r="Y15" s="128"/>
    </row>
    <row r="16" spans="1:25" ht="20" customHeight="1" x14ac:dyDescent="0.25">
      <c r="A16" s="130" t="s">
        <v>134</v>
      </c>
      <c r="B16" s="121"/>
      <c r="C16" s="122"/>
      <c r="D16" s="113">
        <f t="shared" si="1"/>
        <v>0</v>
      </c>
      <c r="E16" s="123"/>
      <c r="F16" s="123"/>
      <c r="G16" s="124"/>
      <c r="H16" s="116">
        <f t="shared" si="7"/>
        <v>0</v>
      </c>
      <c r="I16" s="123"/>
      <c r="J16" s="123"/>
      <c r="K16" s="125"/>
      <c r="L16" s="113">
        <f t="shared" si="2"/>
        <v>0</v>
      </c>
      <c r="M16" s="123"/>
      <c r="N16" s="123"/>
      <c r="O16" s="124"/>
      <c r="P16" s="116">
        <f t="shared" si="3"/>
        <v>0</v>
      </c>
      <c r="Q16" s="123"/>
      <c r="R16" s="123"/>
      <c r="S16" s="125"/>
      <c r="T16" s="113">
        <f t="shared" si="4"/>
        <v>0</v>
      </c>
      <c r="U16" s="126"/>
      <c r="V16" s="127"/>
      <c r="W16" s="117">
        <f t="shared" si="6"/>
        <v>0</v>
      </c>
      <c r="X16" s="118" t="e">
        <f t="shared" si="5"/>
        <v>#DIV/0!</v>
      </c>
      <c r="Y16" s="128"/>
    </row>
    <row r="17" spans="1:25" ht="20" customHeight="1" x14ac:dyDescent="0.25">
      <c r="A17" s="130" t="s">
        <v>135</v>
      </c>
      <c r="B17" s="121"/>
      <c r="C17" s="122"/>
      <c r="D17" s="113">
        <f t="shared" si="1"/>
        <v>0</v>
      </c>
      <c r="E17" s="123"/>
      <c r="F17" s="123"/>
      <c r="G17" s="124"/>
      <c r="H17" s="116">
        <f t="shared" si="7"/>
        <v>0</v>
      </c>
      <c r="I17" s="123"/>
      <c r="J17" s="123"/>
      <c r="K17" s="125"/>
      <c r="L17" s="113">
        <f t="shared" si="2"/>
        <v>0</v>
      </c>
      <c r="M17" s="123"/>
      <c r="N17" s="123"/>
      <c r="O17" s="124"/>
      <c r="P17" s="116">
        <f t="shared" si="3"/>
        <v>0</v>
      </c>
      <c r="Q17" s="123"/>
      <c r="R17" s="123"/>
      <c r="S17" s="125"/>
      <c r="T17" s="113">
        <f t="shared" si="4"/>
        <v>0</v>
      </c>
      <c r="U17" s="126"/>
      <c r="V17" s="127"/>
      <c r="W17" s="117">
        <f t="shared" si="6"/>
        <v>0</v>
      </c>
      <c r="X17" s="118" t="e">
        <f t="shared" si="5"/>
        <v>#DIV/0!</v>
      </c>
      <c r="Y17" s="128"/>
    </row>
    <row r="18" spans="1:25" ht="20" customHeight="1" x14ac:dyDescent="0.25">
      <c r="A18" s="129" t="s">
        <v>136</v>
      </c>
      <c r="B18" s="121"/>
      <c r="C18" s="122"/>
      <c r="D18" s="113">
        <f t="shared" si="1"/>
        <v>0</v>
      </c>
      <c r="E18" s="123"/>
      <c r="F18" s="123"/>
      <c r="G18" s="124"/>
      <c r="H18" s="116">
        <f t="shared" si="7"/>
        <v>0</v>
      </c>
      <c r="I18" s="123"/>
      <c r="J18" s="123"/>
      <c r="K18" s="125"/>
      <c r="L18" s="113">
        <f t="shared" si="2"/>
        <v>0</v>
      </c>
      <c r="M18" s="123"/>
      <c r="N18" s="123"/>
      <c r="O18" s="124"/>
      <c r="P18" s="116">
        <f t="shared" si="3"/>
        <v>0</v>
      </c>
      <c r="Q18" s="123"/>
      <c r="R18" s="123"/>
      <c r="S18" s="125"/>
      <c r="T18" s="113">
        <f t="shared" si="4"/>
        <v>0</v>
      </c>
      <c r="U18" s="126"/>
      <c r="V18" s="127"/>
      <c r="W18" s="117">
        <f t="shared" si="6"/>
        <v>0</v>
      </c>
      <c r="X18" s="118" t="e">
        <f t="shared" si="5"/>
        <v>#DIV/0!</v>
      </c>
      <c r="Y18" s="128"/>
    </row>
    <row r="19" spans="1:25" ht="20" customHeight="1" x14ac:dyDescent="0.25">
      <c r="A19" s="129" t="s">
        <v>137</v>
      </c>
      <c r="B19" s="121"/>
      <c r="C19" s="122"/>
      <c r="D19" s="113">
        <f t="shared" si="1"/>
        <v>0</v>
      </c>
      <c r="E19" s="123"/>
      <c r="F19" s="123"/>
      <c r="G19" s="124"/>
      <c r="H19" s="116">
        <f t="shared" si="7"/>
        <v>0</v>
      </c>
      <c r="I19" s="123"/>
      <c r="J19" s="123"/>
      <c r="K19" s="125"/>
      <c r="L19" s="113">
        <f t="shared" si="2"/>
        <v>0</v>
      </c>
      <c r="M19" s="123"/>
      <c r="N19" s="123"/>
      <c r="O19" s="124"/>
      <c r="P19" s="116">
        <f t="shared" si="3"/>
        <v>0</v>
      </c>
      <c r="Q19" s="123"/>
      <c r="R19" s="123"/>
      <c r="S19" s="125"/>
      <c r="T19" s="113">
        <f t="shared" si="4"/>
        <v>0</v>
      </c>
      <c r="U19" s="126"/>
      <c r="V19" s="127"/>
      <c r="W19" s="117">
        <f t="shared" si="6"/>
        <v>0</v>
      </c>
      <c r="X19" s="118" t="e">
        <f t="shared" si="5"/>
        <v>#DIV/0!</v>
      </c>
      <c r="Y19" s="128"/>
    </row>
    <row r="20" spans="1:25" ht="20" customHeight="1" x14ac:dyDescent="0.25">
      <c r="A20" s="120" t="s">
        <v>138</v>
      </c>
      <c r="B20" s="121"/>
      <c r="C20" s="122"/>
      <c r="D20" s="113">
        <f t="shared" si="1"/>
        <v>0</v>
      </c>
      <c r="E20" s="123"/>
      <c r="F20" s="123"/>
      <c r="G20" s="124"/>
      <c r="H20" s="116">
        <f t="shared" si="7"/>
        <v>0</v>
      </c>
      <c r="I20" s="123"/>
      <c r="J20" s="123"/>
      <c r="K20" s="125"/>
      <c r="L20" s="113">
        <f t="shared" si="2"/>
        <v>0</v>
      </c>
      <c r="M20" s="123"/>
      <c r="N20" s="123"/>
      <c r="O20" s="124"/>
      <c r="P20" s="116">
        <f t="shared" si="3"/>
        <v>0</v>
      </c>
      <c r="Q20" s="123"/>
      <c r="R20" s="123"/>
      <c r="S20" s="125"/>
      <c r="T20" s="113">
        <f t="shared" si="4"/>
        <v>0</v>
      </c>
      <c r="U20" s="126"/>
      <c r="V20" s="127"/>
      <c r="W20" s="117">
        <f t="shared" si="6"/>
        <v>0</v>
      </c>
      <c r="X20" s="118" t="e">
        <f t="shared" si="5"/>
        <v>#DIV/0!</v>
      </c>
      <c r="Y20" s="128"/>
    </row>
    <row r="21" spans="1:25" ht="20" customHeight="1" x14ac:dyDescent="0.25">
      <c r="A21" s="120" t="s">
        <v>139</v>
      </c>
      <c r="B21" s="121"/>
      <c r="C21" s="122"/>
      <c r="D21" s="113">
        <f t="shared" si="1"/>
        <v>0</v>
      </c>
      <c r="E21" s="123"/>
      <c r="F21" s="123"/>
      <c r="G21" s="124"/>
      <c r="H21" s="116">
        <f t="shared" si="7"/>
        <v>0</v>
      </c>
      <c r="I21" s="123"/>
      <c r="J21" s="123"/>
      <c r="K21" s="125"/>
      <c r="L21" s="113">
        <f t="shared" si="2"/>
        <v>0</v>
      </c>
      <c r="M21" s="123"/>
      <c r="N21" s="123"/>
      <c r="O21" s="124"/>
      <c r="P21" s="116">
        <f t="shared" si="3"/>
        <v>0</v>
      </c>
      <c r="Q21" s="123"/>
      <c r="R21" s="123"/>
      <c r="S21" s="125"/>
      <c r="T21" s="113">
        <f t="shared" si="4"/>
        <v>0</v>
      </c>
      <c r="U21" s="126"/>
      <c r="V21" s="127"/>
      <c r="W21" s="117">
        <f t="shared" si="6"/>
        <v>0</v>
      </c>
      <c r="X21" s="118" t="e">
        <f t="shared" si="5"/>
        <v>#DIV/0!</v>
      </c>
      <c r="Y21" s="128"/>
    </row>
    <row r="22" spans="1:25" ht="20" customHeight="1" x14ac:dyDescent="0.25">
      <c r="A22" s="120" t="s">
        <v>140</v>
      </c>
      <c r="B22" s="121"/>
      <c r="C22" s="122"/>
      <c r="D22" s="113">
        <f t="shared" si="1"/>
        <v>0</v>
      </c>
      <c r="E22" s="123"/>
      <c r="F22" s="123"/>
      <c r="G22" s="124"/>
      <c r="H22" s="116">
        <f t="shared" si="7"/>
        <v>0</v>
      </c>
      <c r="I22" s="123"/>
      <c r="J22" s="123"/>
      <c r="K22" s="125"/>
      <c r="L22" s="113">
        <f t="shared" si="2"/>
        <v>0</v>
      </c>
      <c r="M22" s="123"/>
      <c r="N22" s="123"/>
      <c r="O22" s="124"/>
      <c r="P22" s="116">
        <f t="shared" si="3"/>
        <v>0</v>
      </c>
      <c r="Q22" s="123"/>
      <c r="R22" s="123"/>
      <c r="S22" s="125"/>
      <c r="T22" s="113">
        <f t="shared" si="4"/>
        <v>0</v>
      </c>
      <c r="U22" s="126"/>
      <c r="V22" s="127"/>
      <c r="W22" s="117">
        <f t="shared" si="6"/>
        <v>0</v>
      </c>
      <c r="X22" s="118" t="e">
        <f t="shared" si="5"/>
        <v>#DIV/0!</v>
      </c>
      <c r="Y22" s="128"/>
    </row>
    <row r="23" spans="1:25" ht="20" customHeight="1" x14ac:dyDescent="0.25">
      <c r="A23" s="120" t="s">
        <v>141</v>
      </c>
      <c r="B23" s="121"/>
      <c r="C23" s="122"/>
      <c r="D23" s="113">
        <f t="shared" si="1"/>
        <v>0</v>
      </c>
      <c r="E23" s="123"/>
      <c r="F23" s="123"/>
      <c r="G23" s="124"/>
      <c r="H23" s="116">
        <f t="shared" si="7"/>
        <v>0</v>
      </c>
      <c r="I23" s="123"/>
      <c r="J23" s="123"/>
      <c r="K23" s="125"/>
      <c r="L23" s="113">
        <f t="shared" si="2"/>
        <v>0</v>
      </c>
      <c r="M23" s="123"/>
      <c r="N23" s="123"/>
      <c r="O23" s="124"/>
      <c r="P23" s="116">
        <f t="shared" si="3"/>
        <v>0</v>
      </c>
      <c r="Q23" s="123"/>
      <c r="R23" s="123"/>
      <c r="S23" s="125"/>
      <c r="T23" s="113">
        <f t="shared" si="4"/>
        <v>0</v>
      </c>
      <c r="U23" s="126"/>
      <c r="V23" s="127"/>
      <c r="W23" s="117">
        <f t="shared" si="6"/>
        <v>0</v>
      </c>
      <c r="X23" s="118" t="e">
        <f t="shared" si="5"/>
        <v>#DIV/0!</v>
      </c>
      <c r="Y23" s="128"/>
    </row>
    <row r="24" spans="1:25" ht="20" customHeight="1" x14ac:dyDescent="0.25">
      <c r="A24" s="120" t="s">
        <v>142</v>
      </c>
      <c r="B24" s="121"/>
      <c r="C24" s="122"/>
      <c r="D24" s="113">
        <f t="shared" si="1"/>
        <v>0</v>
      </c>
      <c r="E24" s="123"/>
      <c r="F24" s="123"/>
      <c r="G24" s="124"/>
      <c r="H24" s="116">
        <f t="shared" si="7"/>
        <v>0</v>
      </c>
      <c r="I24" s="123"/>
      <c r="J24" s="123"/>
      <c r="K24" s="125"/>
      <c r="L24" s="113">
        <f t="shared" si="2"/>
        <v>0</v>
      </c>
      <c r="M24" s="123"/>
      <c r="N24" s="123"/>
      <c r="O24" s="124"/>
      <c r="P24" s="116">
        <f t="shared" si="3"/>
        <v>0</v>
      </c>
      <c r="Q24" s="123"/>
      <c r="R24" s="123"/>
      <c r="S24" s="125"/>
      <c r="T24" s="113">
        <f t="shared" si="4"/>
        <v>0</v>
      </c>
      <c r="U24" s="126"/>
      <c r="V24" s="127"/>
      <c r="W24" s="117">
        <f t="shared" si="6"/>
        <v>0</v>
      </c>
      <c r="X24" s="118" t="e">
        <f t="shared" si="5"/>
        <v>#DIV/0!</v>
      </c>
      <c r="Y24" s="128"/>
    </row>
    <row r="25" spans="1:25" ht="20" customHeight="1" x14ac:dyDescent="0.25">
      <c r="A25" s="120" t="s">
        <v>143</v>
      </c>
      <c r="B25" s="121"/>
      <c r="C25" s="122"/>
      <c r="D25" s="113">
        <f t="shared" si="1"/>
        <v>0</v>
      </c>
      <c r="E25" s="123"/>
      <c r="F25" s="123"/>
      <c r="G25" s="124"/>
      <c r="H25" s="116">
        <f t="shared" si="7"/>
        <v>0</v>
      </c>
      <c r="I25" s="123"/>
      <c r="J25" s="123"/>
      <c r="K25" s="125"/>
      <c r="L25" s="113">
        <f t="shared" si="2"/>
        <v>0</v>
      </c>
      <c r="M25" s="123"/>
      <c r="N25" s="123"/>
      <c r="O25" s="124"/>
      <c r="P25" s="116">
        <f t="shared" si="3"/>
        <v>0</v>
      </c>
      <c r="Q25" s="123"/>
      <c r="R25" s="123"/>
      <c r="S25" s="125"/>
      <c r="T25" s="113">
        <f t="shared" si="4"/>
        <v>0</v>
      </c>
      <c r="U25" s="126"/>
      <c r="V25" s="127"/>
      <c r="W25" s="117">
        <f t="shared" si="6"/>
        <v>0</v>
      </c>
      <c r="X25" s="118" t="e">
        <f t="shared" si="5"/>
        <v>#DIV/0!</v>
      </c>
      <c r="Y25" s="128"/>
    </row>
    <row r="26" spans="1:25" ht="20" customHeight="1" x14ac:dyDescent="0.25">
      <c r="A26" s="120" t="s">
        <v>144</v>
      </c>
      <c r="B26" s="121"/>
      <c r="C26" s="122"/>
      <c r="D26" s="113">
        <f t="shared" si="1"/>
        <v>0</v>
      </c>
      <c r="E26" s="123"/>
      <c r="F26" s="123"/>
      <c r="G26" s="124"/>
      <c r="H26" s="116">
        <f t="shared" si="7"/>
        <v>0</v>
      </c>
      <c r="I26" s="123"/>
      <c r="J26" s="123"/>
      <c r="K26" s="125"/>
      <c r="L26" s="113">
        <f t="shared" si="2"/>
        <v>0</v>
      </c>
      <c r="M26" s="123"/>
      <c r="N26" s="123"/>
      <c r="O26" s="124"/>
      <c r="P26" s="116">
        <f t="shared" si="3"/>
        <v>0</v>
      </c>
      <c r="Q26" s="123"/>
      <c r="R26" s="123"/>
      <c r="S26" s="125"/>
      <c r="T26" s="113">
        <f t="shared" si="4"/>
        <v>0</v>
      </c>
      <c r="U26" s="126"/>
      <c r="V26" s="127"/>
      <c r="W26" s="117">
        <f t="shared" si="6"/>
        <v>0</v>
      </c>
      <c r="X26" s="118" t="e">
        <f t="shared" si="5"/>
        <v>#DIV/0!</v>
      </c>
      <c r="Y26" s="128"/>
    </row>
    <row r="27" spans="1:25" ht="20" customHeight="1" x14ac:dyDescent="0.25">
      <c r="A27" s="120" t="s">
        <v>145</v>
      </c>
      <c r="B27" s="121"/>
      <c r="C27" s="122"/>
      <c r="D27" s="113">
        <f t="shared" si="1"/>
        <v>0</v>
      </c>
      <c r="E27" s="123"/>
      <c r="F27" s="123"/>
      <c r="G27" s="124"/>
      <c r="H27" s="116">
        <f t="shared" si="7"/>
        <v>0</v>
      </c>
      <c r="I27" s="123"/>
      <c r="J27" s="123"/>
      <c r="K27" s="125"/>
      <c r="L27" s="113">
        <f t="shared" si="2"/>
        <v>0</v>
      </c>
      <c r="M27" s="123"/>
      <c r="N27" s="123"/>
      <c r="O27" s="124"/>
      <c r="P27" s="116">
        <f t="shared" si="3"/>
        <v>0</v>
      </c>
      <c r="Q27" s="123"/>
      <c r="R27" s="123"/>
      <c r="S27" s="125"/>
      <c r="T27" s="113">
        <f t="shared" si="4"/>
        <v>0</v>
      </c>
      <c r="U27" s="126"/>
      <c r="V27" s="127"/>
      <c r="W27" s="117">
        <f t="shared" si="6"/>
        <v>0</v>
      </c>
      <c r="X27" s="118" t="e">
        <f t="shared" si="5"/>
        <v>#DIV/0!</v>
      </c>
      <c r="Y27" s="128"/>
    </row>
    <row r="28" spans="1:25" ht="20" customHeight="1" x14ac:dyDescent="0.25">
      <c r="A28" s="120" t="s">
        <v>146</v>
      </c>
      <c r="B28" s="121"/>
      <c r="C28" s="122"/>
      <c r="D28" s="113">
        <f t="shared" si="1"/>
        <v>0</v>
      </c>
      <c r="E28" s="123"/>
      <c r="F28" s="123"/>
      <c r="G28" s="124"/>
      <c r="H28" s="116">
        <f t="shared" si="7"/>
        <v>0</v>
      </c>
      <c r="I28" s="123"/>
      <c r="J28" s="123"/>
      <c r="K28" s="125"/>
      <c r="L28" s="113">
        <f t="shared" si="2"/>
        <v>0</v>
      </c>
      <c r="M28" s="123"/>
      <c r="N28" s="123"/>
      <c r="O28" s="124"/>
      <c r="P28" s="116">
        <f t="shared" si="3"/>
        <v>0</v>
      </c>
      <c r="Q28" s="123"/>
      <c r="R28" s="123"/>
      <c r="S28" s="125"/>
      <c r="T28" s="113">
        <f t="shared" si="4"/>
        <v>0</v>
      </c>
      <c r="U28" s="126"/>
      <c r="V28" s="127"/>
      <c r="W28" s="117">
        <f t="shared" si="6"/>
        <v>0</v>
      </c>
      <c r="X28" s="118" t="e">
        <f t="shared" si="5"/>
        <v>#DIV/0!</v>
      </c>
      <c r="Y28" s="128"/>
    </row>
    <row r="29" spans="1:25" ht="20" customHeight="1" x14ac:dyDescent="0.25">
      <c r="A29" s="120" t="s">
        <v>147</v>
      </c>
      <c r="B29" s="121"/>
      <c r="C29" s="122"/>
      <c r="D29" s="113">
        <f t="shared" si="1"/>
        <v>0</v>
      </c>
      <c r="E29" s="123"/>
      <c r="F29" s="123"/>
      <c r="G29" s="124"/>
      <c r="H29" s="116">
        <f t="shared" si="7"/>
        <v>0</v>
      </c>
      <c r="I29" s="123"/>
      <c r="J29" s="123"/>
      <c r="K29" s="125"/>
      <c r="L29" s="113">
        <f t="shared" si="2"/>
        <v>0</v>
      </c>
      <c r="M29" s="123"/>
      <c r="N29" s="123"/>
      <c r="O29" s="124"/>
      <c r="P29" s="116">
        <f t="shared" si="3"/>
        <v>0</v>
      </c>
      <c r="Q29" s="123"/>
      <c r="R29" s="123"/>
      <c r="S29" s="125"/>
      <c r="T29" s="113">
        <f t="shared" si="4"/>
        <v>0</v>
      </c>
      <c r="U29" s="126"/>
      <c r="V29" s="127"/>
      <c r="W29" s="117">
        <f t="shared" si="6"/>
        <v>0</v>
      </c>
      <c r="X29" s="118" t="e">
        <f t="shared" si="5"/>
        <v>#DIV/0!</v>
      </c>
      <c r="Y29" s="128"/>
    </row>
    <row r="30" spans="1:25" ht="20" customHeight="1" x14ac:dyDescent="0.25">
      <c r="A30" s="120" t="s">
        <v>137</v>
      </c>
      <c r="B30" s="121"/>
      <c r="C30" s="122"/>
      <c r="D30" s="113">
        <f t="shared" si="1"/>
        <v>0</v>
      </c>
      <c r="E30" s="123"/>
      <c r="F30" s="123"/>
      <c r="G30" s="124"/>
      <c r="H30" s="116">
        <f t="shared" si="7"/>
        <v>0</v>
      </c>
      <c r="I30" s="123"/>
      <c r="J30" s="123"/>
      <c r="K30" s="125"/>
      <c r="L30" s="113">
        <f t="shared" si="2"/>
        <v>0</v>
      </c>
      <c r="M30" s="123"/>
      <c r="N30" s="123"/>
      <c r="O30" s="124"/>
      <c r="P30" s="116">
        <f t="shared" si="3"/>
        <v>0</v>
      </c>
      <c r="Q30" s="123"/>
      <c r="R30" s="123"/>
      <c r="S30" s="125"/>
      <c r="T30" s="113">
        <f t="shared" si="4"/>
        <v>0</v>
      </c>
      <c r="U30" s="126"/>
      <c r="V30" s="127"/>
      <c r="W30" s="117">
        <f t="shared" si="6"/>
        <v>0</v>
      </c>
      <c r="X30" s="118" t="e">
        <f t="shared" si="5"/>
        <v>#DIV/0!</v>
      </c>
      <c r="Y30" s="128"/>
    </row>
    <row r="31" spans="1:25" ht="20" customHeight="1" x14ac:dyDescent="0.25">
      <c r="A31" s="131" t="s">
        <v>148</v>
      </c>
      <c r="B31" s="121"/>
      <c r="C31" s="122"/>
      <c r="D31" s="113">
        <f t="shared" si="1"/>
        <v>0</v>
      </c>
      <c r="E31" s="123"/>
      <c r="F31" s="123"/>
      <c r="G31" s="124"/>
      <c r="H31" s="116">
        <f t="shared" si="7"/>
        <v>0</v>
      </c>
      <c r="I31" s="123"/>
      <c r="J31" s="123"/>
      <c r="K31" s="125"/>
      <c r="L31" s="113">
        <f t="shared" si="2"/>
        <v>0</v>
      </c>
      <c r="M31" s="123"/>
      <c r="N31" s="123"/>
      <c r="O31" s="124"/>
      <c r="P31" s="116">
        <f t="shared" si="3"/>
        <v>0</v>
      </c>
      <c r="Q31" s="123"/>
      <c r="R31" s="123"/>
      <c r="S31" s="125"/>
      <c r="T31" s="113">
        <f t="shared" si="4"/>
        <v>0</v>
      </c>
      <c r="U31" s="126"/>
      <c r="V31" s="127"/>
      <c r="W31" s="117">
        <f t="shared" si="6"/>
        <v>0</v>
      </c>
      <c r="X31" s="118" t="e">
        <f t="shared" si="5"/>
        <v>#DIV/0!</v>
      </c>
      <c r="Y31" s="128"/>
    </row>
    <row r="32" spans="1:25" ht="20" customHeight="1" x14ac:dyDescent="0.25">
      <c r="A32" s="131" t="s">
        <v>149</v>
      </c>
      <c r="B32" s="121"/>
      <c r="C32" s="122"/>
      <c r="D32" s="113">
        <f t="shared" si="1"/>
        <v>0</v>
      </c>
      <c r="E32" s="123"/>
      <c r="F32" s="123"/>
      <c r="G32" s="124"/>
      <c r="H32" s="116">
        <f t="shared" si="7"/>
        <v>0</v>
      </c>
      <c r="I32" s="123"/>
      <c r="J32" s="123"/>
      <c r="K32" s="125"/>
      <c r="L32" s="113">
        <f t="shared" si="2"/>
        <v>0</v>
      </c>
      <c r="M32" s="123"/>
      <c r="N32" s="123"/>
      <c r="O32" s="124"/>
      <c r="P32" s="116">
        <f t="shared" si="3"/>
        <v>0</v>
      </c>
      <c r="Q32" s="123"/>
      <c r="R32" s="123"/>
      <c r="S32" s="125"/>
      <c r="T32" s="113">
        <f t="shared" si="4"/>
        <v>0</v>
      </c>
      <c r="U32" s="126"/>
      <c r="V32" s="127"/>
      <c r="W32" s="117">
        <f t="shared" si="6"/>
        <v>0</v>
      </c>
      <c r="X32" s="118" t="e">
        <f t="shared" si="5"/>
        <v>#DIV/0!</v>
      </c>
      <c r="Y32" s="128"/>
    </row>
    <row r="33" spans="1:25" ht="20" customHeight="1" x14ac:dyDescent="0.25">
      <c r="A33" s="131" t="s">
        <v>150</v>
      </c>
      <c r="B33" s="121"/>
      <c r="C33" s="122"/>
      <c r="D33" s="113">
        <f t="shared" si="1"/>
        <v>0</v>
      </c>
      <c r="E33" s="123"/>
      <c r="F33" s="123"/>
      <c r="G33" s="124"/>
      <c r="H33" s="116">
        <f t="shared" si="7"/>
        <v>0</v>
      </c>
      <c r="I33" s="123"/>
      <c r="J33" s="123"/>
      <c r="K33" s="125"/>
      <c r="L33" s="113">
        <f t="shared" si="2"/>
        <v>0</v>
      </c>
      <c r="M33" s="123"/>
      <c r="N33" s="123"/>
      <c r="O33" s="124"/>
      <c r="P33" s="116">
        <f t="shared" si="3"/>
        <v>0</v>
      </c>
      <c r="Q33" s="123"/>
      <c r="R33" s="123"/>
      <c r="S33" s="125"/>
      <c r="T33" s="113">
        <f t="shared" si="4"/>
        <v>0</v>
      </c>
      <c r="U33" s="126"/>
      <c r="V33" s="127"/>
      <c r="W33" s="117">
        <f t="shared" si="6"/>
        <v>0</v>
      </c>
      <c r="X33" s="118" t="e">
        <f t="shared" si="5"/>
        <v>#DIV/0!</v>
      </c>
      <c r="Y33" s="128"/>
    </row>
    <row r="34" spans="1:25" ht="20" customHeight="1" x14ac:dyDescent="0.25">
      <c r="A34" s="131" t="s">
        <v>151</v>
      </c>
      <c r="B34" s="121"/>
      <c r="C34" s="122"/>
      <c r="D34" s="113">
        <f t="shared" si="1"/>
        <v>0</v>
      </c>
      <c r="E34" s="123"/>
      <c r="F34" s="123"/>
      <c r="G34" s="124"/>
      <c r="H34" s="116">
        <f t="shared" si="7"/>
        <v>0</v>
      </c>
      <c r="I34" s="123"/>
      <c r="J34" s="123"/>
      <c r="K34" s="125"/>
      <c r="L34" s="113">
        <f t="shared" si="2"/>
        <v>0</v>
      </c>
      <c r="M34" s="123"/>
      <c r="N34" s="123"/>
      <c r="O34" s="124"/>
      <c r="P34" s="116">
        <f t="shared" si="3"/>
        <v>0</v>
      </c>
      <c r="Q34" s="123"/>
      <c r="R34" s="123"/>
      <c r="S34" s="125"/>
      <c r="T34" s="113">
        <f t="shared" si="4"/>
        <v>0</v>
      </c>
      <c r="U34" s="126"/>
      <c r="V34" s="127"/>
      <c r="W34" s="117">
        <f t="shared" si="6"/>
        <v>0</v>
      </c>
      <c r="X34" s="118" t="e">
        <f t="shared" si="5"/>
        <v>#DIV/0!</v>
      </c>
      <c r="Y34" s="128"/>
    </row>
    <row r="35" spans="1:25" ht="20" customHeight="1" x14ac:dyDescent="0.25">
      <c r="A35" s="131" t="s">
        <v>152</v>
      </c>
      <c r="B35" s="121"/>
      <c r="C35" s="122"/>
      <c r="D35" s="113">
        <f t="shared" si="1"/>
        <v>0</v>
      </c>
      <c r="E35" s="123"/>
      <c r="F35" s="123"/>
      <c r="G35" s="124"/>
      <c r="H35" s="116">
        <f t="shared" si="7"/>
        <v>0</v>
      </c>
      <c r="I35" s="123"/>
      <c r="J35" s="123"/>
      <c r="K35" s="125"/>
      <c r="L35" s="113">
        <f t="shared" si="2"/>
        <v>0</v>
      </c>
      <c r="M35" s="123"/>
      <c r="N35" s="123"/>
      <c r="O35" s="124"/>
      <c r="P35" s="116">
        <f t="shared" si="3"/>
        <v>0</v>
      </c>
      <c r="Q35" s="123"/>
      <c r="R35" s="123"/>
      <c r="S35" s="125"/>
      <c r="T35" s="113">
        <f t="shared" si="4"/>
        <v>0</v>
      </c>
      <c r="U35" s="126"/>
      <c r="V35" s="127"/>
      <c r="W35" s="117">
        <f t="shared" si="6"/>
        <v>0</v>
      </c>
      <c r="X35" s="118" t="e">
        <f t="shared" si="5"/>
        <v>#DIV/0!</v>
      </c>
      <c r="Y35" s="128"/>
    </row>
    <row r="36" spans="1:25" ht="20" customHeight="1" x14ac:dyDescent="0.25">
      <c r="A36" s="131" t="s">
        <v>153</v>
      </c>
      <c r="B36" s="121"/>
      <c r="C36" s="122"/>
      <c r="D36" s="113">
        <f t="shared" si="1"/>
        <v>0</v>
      </c>
      <c r="E36" s="123"/>
      <c r="F36" s="123"/>
      <c r="G36" s="124"/>
      <c r="H36" s="116">
        <f t="shared" si="7"/>
        <v>0</v>
      </c>
      <c r="I36" s="123"/>
      <c r="J36" s="123"/>
      <c r="K36" s="125"/>
      <c r="L36" s="113">
        <f t="shared" si="2"/>
        <v>0</v>
      </c>
      <c r="M36" s="123"/>
      <c r="N36" s="123"/>
      <c r="O36" s="124"/>
      <c r="P36" s="116">
        <f t="shared" si="3"/>
        <v>0</v>
      </c>
      <c r="Q36" s="123"/>
      <c r="R36" s="123"/>
      <c r="S36" s="125"/>
      <c r="T36" s="113">
        <f t="shared" si="4"/>
        <v>0</v>
      </c>
      <c r="U36" s="126"/>
      <c r="V36" s="127"/>
      <c r="W36" s="117">
        <f t="shared" si="6"/>
        <v>0</v>
      </c>
      <c r="X36" s="118" t="e">
        <f t="shared" si="5"/>
        <v>#DIV/0!</v>
      </c>
      <c r="Y36" s="128"/>
    </row>
    <row r="37" spans="1:25" ht="20" customHeight="1" x14ac:dyDescent="0.25">
      <c r="A37" s="131" t="s">
        <v>154</v>
      </c>
      <c r="B37" s="121"/>
      <c r="C37" s="122"/>
      <c r="D37" s="113">
        <f t="shared" ref="D37:D91" si="8">SUM(E37:G37)</f>
        <v>0</v>
      </c>
      <c r="E37" s="123"/>
      <c r="F37" s="123"/>
      <c r="G37" s="124"/>
      <c r="H37" s="116">
        <f t="shared" si="7"/>
        <v>0</v>
      </c>
      <c r="I37" s="123"/>
      <c r="J37" s="123"/>
      <c r="K37" s="125"/>
      <c r="L37" s="113">
        <f t="shared" si="2"/>
        <v>0</v>
      </c>
      <c r="M37" s="123"/>
      <c r="N37" s="123"/>
      <c r="O37" s="124"/>
      <c r="P37" s="116">
        <f t="shared" si="3"/>
        <v>0</v>
      </c>
      <c r="Q37" s="123"/>
      <c r="R37" s="123"/>
      <c r="S37" s="125"/>
      <c r="T37" s="113">
        <f t="shared" si="4"/>
        <v>0</v>
      </c>
      <c r="U37" s="126"/>
      <c r="V37" s="127"/>
      <c r="W37" s="117">
        <f t="shared" si="6"/>
        <v>0</v>
      </c>
      <c r="X37" s="118" t="e">
        <f t="shared" si="5"/>
        <v>#DIV/0!</v>
      </c>
      <c r="Y37" s="128"/>
    </row>
    <row r="38" spans="1:25" ht="20" customHeight="1" x14ac:dyDescent="0.25">
      <c r="A38" s="131" t="s">
        <v>155</v>
      </c>
      <c r="B38" s="121"/>
      <c r="C38" s="122"/>
      <c r="D38" s="113">
        <f t="shared" si="8"/>
        <v>0</v>
      </c>
      <c r="E38" s="123"/>
      <c r="F38" s="123"/>
      <c r="G38" s="124"/>
      <c r="H38" s="116">
        <f t="shared" si="7"/>
        <v>0</v>
      </c>
      <c r="I38" s="123"/>
      <c r="J38" s="123"/>
      <c r="K38" s="125"/>
      <c r="L38" s="113">
        <f t="shared" si="2"/>
        <v>0</v>
      </c>
      <c r="M38" s="123"/>
      <c r="N38" s="123"/>
      <c r="O38" s="124"/>
      <c r="P38" s="116">
        <f t="shared" si="3"/>
        <v>0</v>
      </c>
      <c r="Q38" s="123"/>
      <c r="R38" s="123"/>
      <c r="S38" s="125"/>
      <c r="T38" s="113">
        <f t="shared" si="4"/>
        <v>0</v>
      </c>
      <c r="U38" s="126"/>
      <c r="V38" s="127"/>
      <c r="W38" s="117">
        <f t="shared" si="6"/>
        <v>0</v>
      </c>
      <c r="X38" s="118" t="e">
        <f t="shared" si="5"/>
        <v>#DIV/0!</v>
      </c>
      <c r="Y38" s="128"/>
    </row>
    <row r="39" spans="1:25" ht="20" customHeight="1" x14ac:dyDescent="0.25">
      <c r="A39" s="131" t="s">
        <v>156</v>
      </c>
      <c r="B39" s="121"/>
      <c r="C39" s="122"/>
      <c r="D39" s="113">
        <f t="shared" si="8"/>
        <v>0</v>
      </c>
      <c r="E39" s="132"/>
      <c r="F39" s="132"/>
      <c r="G39" s="133"/>
      <c r="H39" s="116">
        <f t="shared" si="7"/>
        <v>0</v>
      </c>
      <c r="I39" s="132"/>
      <c r="J39" s="132"/>
      <c r="K39" s="134"/>
      <c r="L39" s="113">
        <f t="shared" si="2"/>
        <v>0</v>
      </c>
      <c r="M39" s="132"/>
      <c r="N39" s="132"/>
      <c r="O39" s="133"/>
      <c r="P39" s="116">
        <f t="shared" si="3"/>
        <v>0</v>
      </c>
      <c r="Q39" s="132"/>
      <c r="R39" s="132"/>
      <c r="S39" s="134"/>
      <c r="T39" s="113">
        <f t="shared" si="4"/>
        <v>0</v>
      </c>
      <c r="U39" s="126"/>
      <c r="V39" s="126"/>
      <c r="W39" s="117">
        <f t="shared" si="6"/>
        <v>0</v>
      </c>
      <c r="X39" s="118" t="e">
        <f t="shared" si="5"/>
        <v>#DIV/0!</v>
      </c>
      <c r="Y39" s="128"/>
    </row>
    <row r="40" spans="1:25" ht="20" customHeight="1" x14ac:dyDescent="0.25">
      <c r="A40" s="131" t="s">
        <v>157</v>
      </c>
      <c r="B40" s="121"/>
      <c r="C40" s="122"/>
      <c r="D40" s="113">
        <f t="shared" si="8"/>
        <v>0</v>
      </c>
      <c r="E40" s="123"/>
      <c r="F40" s="123"/>
      <c r="G40" s="124"/>
      <c r="H40" s="116">
        <f t="shared" si="7"/>
        <v>0</v>
      </c>
      <c r="I40" s="123"/>
      <c r="J40" s="123"/>
      <c r="K40" s="125"/>
      <c r="L40" s="113">
        <f t="shared" si="2"/>
        <v>0</v>
      </c>
      <c r="M40" s="123"/>
      <c r="N40" s="123"/>
      <c r="O40" s="124"/>
      <c r="P40" s="116">
        <f t="shared" si="3"/>
        <v>0</v>
      </c>
      <c r="Q40" s="123"/>
      <c r="R40" s="123"/>
      <c r="S40" s="125"/>
      <c r="T40" s="113">
        <f t="shared" si="4"/>
        <v>0</v>
      </c>
      <c r="U40" s="126"/>
      <c r="V40" s="127"/>
      <c r="W40" s="117">
        <f t="shared" si="6"/>
        <v>0</v>
      </c>
      <c r="X40" s="118" t="e">
        <f t="shared" si="5"/>
        <v>#DIV/0!</v>
      </c>
      <c r="Y40" s="128"/>
    </row>
    <row r="41" spans="1:25" ht="20" customHeight="1" x14ac:dyDescent="0.25">
      <c r="A41" s="131" t="s">
        <v>158</v>
      </c>
      <c r="B41" s="121"/>
      <c r="C41" s="122"/>
      <c r="D41" s="113">
        <f t="shared" si="8"/>
        <v>0</v>
      </c>
      <c r="E41" s="123"/>
      <c r="F41" s="123"/>
      <c r="G41" s="124"/>
      <c r="H41" s="116">
        <f t="shared" si="7"/>
        <v>0</v>
      </c>
      <c r="I41" s="123"/>
      <c r="J41" s="123"/>
      <c r="K41" s="125"/>
      <c r="L41" s="113">
        <f t="shared" si="2"/>
        <v>0</v>
      </c>
      <c r="M41" s="123"/>
      <c r="N41" s="123"/>
      <c r="O41" s="124"/>
      <c r="P41" s="116">
        <f t="shared" si="3"/>
        <v>0</v>
      </c>
      <c r="Q41" s="123"/>
      <c r="R41" s="123"/>
      <c r="S41" s="125"/>
      <c r="T41" s="113">
        <f t="shared" si="4"/>
        <v>0</v>
      </c>
      <c r="U41" s="126"/>
      <c r="V41" s="127"/>
      <c r="W41" s="117">
        <f t="shared" si="6"/>
        <v>0</v>
      </c>
      <c r="X41" s="118" t="e">
        <f t="shared" si="5"/>
        <v>#DIV/0!</v>
      </c>
      <c r="Y41" s="128"/>
    </row>
    <row r="42" spans="1:25" ht="20" customHeight="1" x14ac:dyDescent="0.25">
      <c r="A42" s="131" t="s">
        <v>159</v>
      </c>
      <c r="B42" s="121"/>
      <c r="C42" s="122"/>
      <c r="D42" s="113">
        <f t="shared" si="8"/>
        <v>0</v>
      </c>
      <c r="E42" s="123"/>
      <c r="F42" s="123"/>
      <c r="G42" s="124"/>
      <c r="H42" s="116">
        <f t="shared" si="7"/>
        <v>0</v>
      </c>
      <c r="I42" s="123"/>
      <c r="J42" s="123"/>
      <c r="K42" s="125"/>
      <c r="L42" s="113">
        <f t="shared" si="2"/>
        <v>0</v>
      </c>
      <c r="M42" s="123"/>
      <c r="N42" s="123"/>
      <c r="O42" s="124"/>
      <c r="P42" s="116">
        <f t="shared" si="3"/>
        <v>0</v>
      </c>
      <c r="Q42" s="123"/>
      <c r="R42" s="123"/>
      <c r="S42" s="125"/>
      <c r="T42" s="113">
        <f t="shared" si="4"/>
        <v>0</v>
      </c>
      <c r="U42" s="126"/>
      <c r="V42" s="127"/>
      <c r="W42" s="117">
        <f t="shared" si="6"/>
        <v>0</v>
      </c>
      <c r="X42" s="118" t="e">
        <f t="shared" si="5"/>
        <v>#DIV/0!</v>
      </c>
      <c r="Y42" s="128"/>
    </row>
    <row r="43" spans="1:25" ht="20" customHeight="1" x14ac:dyDescent="0.25">
      <c r="A43" s="131" t="s">
        <v>160</v>
      </c>
      <c r="B43" s="121"/>
      <c r="C43" s="122"/>
      <c r="D43" s="113">
        <f t="shared" si="8"/>
        <v>0</v>
      </c>
      <c r="E43" s="123"/>
      <c r="F43" s="123"/>
      <c r="G43" s="124"/>
      <c r="H43" s="116">
        <f t="shared" si="7"/>
        <v>0</v>
      </c>
      <c r="I43" s="123"/>
      <c r="J43" s="123"/>
      <c r="K43" s="125"/>
      <c r="L43" s="113">
        <f t="shared" si="2"/>
        <v>0</v>
      </c>
      <c r="M43" s="123"/>
      <c r="N43" s="123"/>
      <c r="O43" s="124"/>
      <c r="P43" s="116">
        <f t="shared" si="3"/>
        <v>0</v>
      </c>
      <c r="Q43" s="123"/>
      <c r="R43" s="123"/>
      <c r="S43" s="125"/>
      <c r="T43" s="113">
        <f t="shared" si="4"/>
        <v>0</v>
      </c>
      <c r="U43" s="126"/>
      <c r="V43" s="127"/>
      <c r="W43" s="117">
        <f t="shared" si="6"/>
        <v>0</v>
      </c>
      <c r="X43" s="118" t="e">
        <f t="shared" si="5"/>
        <v>#DIV/0!</v>
      </c>
      <c r="Y43" s="128"/>
    </row>
    <row r="44" spans="1:25" ht="20" customHeight="1" x14ac:dyDescent="0.25">
      <c r="A44" s="120" t="s">
        <v>161</v>
      </c>
      <c r="B44" s="121"/>
      <c r="C44" s="122"/>
      <c r="D44" s="113">
        <f t="shared" si="8"/>
        <v>0</v>
      </c>
      <c r="E44" s="123"/>
      <c r="F44" s="123"/>
      <c r="G44" s="124"/>
      <c r="H44" s="116">
        <f t="shared" si="7"/>
        <v>0</v>
      </c>
      <c r="I44" s="123"/>
      <c r="J44" s="123"/>
      <c r="K44" s="125"/>
      <c r="L44" s="113">
        <f t="shared" si="2"/>
        <v>0</v>
      </c>
      <c r="M44" s="123"/>
      <c r="N44" s="123"/>
      <c r="O44" s="124"/>
      <c r="P44" s="116">
        <f t="shared" si="3"/>
        <v>0</v>
      </c>
      <c r="Q44" s="123"/>
      <c r="R44" s="123"/>
      <c r="S44" s="125"/>
      <c r="T44" s="113">
        <f t="shared" si="4"/>
        <v>0</v>
      </c>
      <c r="U44" s="126"/>
      <c r="V44" s="127"/>
      <c r="W44" s="117">
        <f t="shared" si="6"/>
        <v>0</v>
      </c>
      <c r="X44" s="118" t="e">
        <f t="shared" si="5"/>
        <v>#DIV/0!</v>
      </c>
      <c r="Y44" s="128"/>
    </row>
    <row r="45" spans="1:25" ht="20" customHeight="1" x14ac:dyDescent="0.25">
      <c r="A45" s="120" t="s">
        <v>162</v>
      </c>
      <c r="B45" s="121"/>
      <c r="C45" s="122"/>
      <c r="D45" s="113">
        <f t="shared" si="8"/>
        <v>0</v>
      </c>
      <c r="E45" s="123"/>
      <c r="F45" s="123"/>
      <c r="G45" s="124"/>
      <c r="H45" s="116">
        <f t="shared" si="7"/>
        <v>0</v>
      </c>
      <c r="I45" s="123"/>
      <c r="J45" s="123"/>
      <c r="K45" s="125"/>
      <c r="L45" s="113">
        <f t="shared" si="2"/>
        <v>0</v>
      </c>
      <c r="M45" s="123"/>
      <c r="N45" s="123"/>
      <c r="O45" s="124"/>
      <c r="P45" s="116">
        <f t="shared" si="3"/>
        <v>0</v>
      </c>
      <c r="Q45" s="123"/>
      <c r="R45" s="123"/>
      <c r="S45" s="125"/>
      <c r="T45" s="113">
        <f t="shared" si="4"/>
        <v>0</v>
      </c>
      <c r="U45" s="126"/>
      <c r="V45" s="127"/>
      <c r="W45" s="117">
        <f t="shared" si="6"/>
        <v>0</v>
      </c>
      <c r="X45" s="118" t="e">
        <f t="shared" si="5"/>
        <v>#DIV/0!</v>
      </c>
      <c r="Y45" s="128"/>
    </row>
    <row r="46" spans="1:25" ht="20" customHeight="1" x14ac:dyDescent="0.25">
      <c r="A46" s="120" t="s">
        <v>163</v>
      </c>
      <c r="B46" s="121"/>
      <c r="C46" s="122"/>
      <c r="D46" s="113">
        <f t="shared" si="8"/>
        <v>0</v>
      </c>
      <c r="E46" s="132"/>
      <c r="F46" s="132"/>
      <c r="G46" s="133"/>
      <c r="H46" s="116">
        <f t="shared" si="7"/>
        <v>0</v>
      </c>
      <c r="I46" s="132"/>
      <c r="J46" s="132"/>
      <c r="K46" s="134"/>
      <c r="L46" s="113">
        <f t="shared" si="2"/>
        <v>0</v>
      </c>
      <c r="M46" s="132"/>
      <c r="N46" s="132"/>
      <c r="O46" s="133"/>
      <c r="P46" s="116">
        <f t="shared" si="3"/>
        <v>0</v>
      </c>
      <c r="Q46" s="132"/>
      <c r="R46" s="132"/>
      <c r="S46" s="134"/>
      <c r="T46" s="113">
        <f t="shared" si="4"/>
        <v>0</v>
      </c>
      <c r="U46" s="126"/>
      <c r="V46" s="126"/>
      <c r="W46" s="117">
        <f t="shared" si="6"/>
        <v>0</v>
      </c>
      <c r="X46" s="118" t="e">
        <f t="shared" si="5"/>
        <v>#DIV/0!</v>
      </c>
      <c r="Y46" s="128"/>
    </row>
    <row r="47" spans="1:25" ht="20" customHeight="1" x14ac:dyDescent="0.25">
      <c r="A47" s="120" t="s">
        <v>164</v>
      </c>
      <c r="B47" s="121"/>
      <c r="C47" s="122"/>
      <c r="D47" s="113">
        <f t="shared" si="8"/>
        <v>0</v>
      </c>
      <c r="E47" s="123"/>
      <c r="F47" s="123"/>
      <c r="G47" s="124"/>
      <c r="H47" s="116">
        <f t="shared" si="7"/>
        <v>0</v>
      </c>
      <c r="I47" s="123"/>
      <c r="J47" s="123"/>
      <c r="K47" s="125"/>
      <c r="L47" s="113">
        <f t="shared" si="2"/>
        <v>0</v>
      </c>
      <c r="M47" s="123"/>
      <c r="N47" s="123"/>
      <c r="O47" s="124"/>
      <c r="P47" s="116">
        <f t="shared" si="3"/>
        <v>0</v>
      </c>
      <c r="Q47" s="123"/>
      <c r="R47" s="123"/>
      <c r="S47" s="125"/>
      <c r="T47" s="113">
        <f t="shared" si="4"/>
        <v>0</v>
      </c>
      <c r="U47" s="126"/>
      <c r="V47" s="127"/>
      <c r="W47" s="117">
        <f t="shared" si="6"/>
        <v>0</v>
      </c>
      <c r="X47" s="118" t="e">
        <f t="shared" si="5"/>
        <v>#DIV/0!</v>
      </c>
      <c r="Y47" s="128"/>
    </row>
    <row r="48" spans="1:25" ht="20" customHeight="1" x14ac:dyDescent="0.25">
      <c r="A48" s="120" t="s">
        <v>165</v>
      </c>
      <c r="B48" s="121"/>
      <c r="C48" s="122"/>
      <c r="D48" s="113">
        <f t="shared" si="8"/>
        <v>0</v>
      </c>
      <c r="E48" s="123"/>
      <c r="F48" s="123"/>
      <c r="G48" s="124"/>
      <c r="H48" s="116">
        <f t="shared" si="7"/>
        <v>0</v>
      </c>
      <c r="I48" s="123"/>
      <c r="J48" s="123"/>
      <c r="K48" s="125"/>
      <c r="L48" s="113">
        <f t="shared" si="2"/>
        <v>0</v>
      </c>
      <c r="M48" s="123"/>
      <c r="N48" s="123"/>
      <c r="O48" s="124"/>
      <c r="P48" s="116">
        <f t="shared" si="3"/>
        <v>0</v>
      </c>
      <c r="Q48" s="123"/>
      <c r="R48" s="123"/>
      <c r="S48" s="125"/>
      <c r="T48" s="113">
        <f t="shared" si="4"/>
        <v>0</v>
      </c>
      <c r="U48" s="126"/>
      <c r="V48" s="127"/>
      <c r="W48" s="117">
        <f t="shared" si="6"/>
        <v>0</v>
      </c>
      <c r="X48" s="118" t="e">
        <f t="shared" si="5"/>
        <v>#DIV/0!</v>
      </c>
      <c r="Y48" s="128"/>
    </row>
    <row r="49" spans="1:25" ht="20" customHeight="1" x14ac:dyDescent="0.25">
      <c r="A49" s="120" t="s">
        <v>137</v>
      </c>
      <c r="B49" s="121"/>
      <c r="C49" s="122"/>
      <c r="D49" s="113">
        <f t="shared" si="8"/>
        <v>0</v>
      </c>
      <c r="E49" s="123"/>
      <c r="F49" s="123"/>
      <c r="G49" s="124"/>
      <c r="H49" s="116">
        <f t="shared" si="7"/>
        <v>0</v>
      </c>
      <c r="I49" s="123"/>
      <c r="J49" s="123"/>
      <c r="K49" s="125"/>
      <c r="L49" s="113">
        <f t="shared" si="2"/>
        <v>0</v>
      </c>
      <c r="M49" s="123"/>
      <c r="N49" s="123"/>
      <c r="O49" s="124"/>
      <c r="P49" s="116">
        <f t="shared" si="3"/>
        <v>0</v>
      </c>
      <c r="Q49" s="123"/>
      <c r="R49" s="123"/>
      <c r="S49" s="125"/>
      <c r="T49" s="113">
        <f t="shared" si="4"/>
        <v>0</v>
      </c>
      <c r="U49" s="126"/>
      <c r="V49" s="127"/>
      <c r="W49" s="117">
        <f t="shared" si="6"/>
        <v>0</v>
      </c>
      <c r="X49" s="118" t="e">
        <f t="shared" si="5"/>
        <v>#DIV/0!</v>
      </c>
      <c r="Y49" s="128"/>
    </row>
    <row r="50" spans="1:25" ht="20" customHeight="1" x14ac:dyDescent="0.25">
      <c r="A50" s="131" t="s">
        <v>166</v>
      </c>
      <c r="B50" s="121"/>
      <c r="C50" s="122"/>
      <c r="D50" s="113">
        <f t="shared" si="8"/>
        <v>0</v>
      </c>
      <c r="E50" s="123"/>
      <c r="F50" s="123"/>
      <c r="G50" s="124"/>
      <c r="H50" s="116">
        <f t="shared" si="7"/>
        <v>0</v>
      </c>
      <c r="I50" s="123"/>
      <c r="J50" s="123"/>
      <c r="K50" s="125"/>
      <c r="L50" s="113">
        <f t="shared" si="2"/>
        <v>0</v>
      </c>
      <c r="M50" s="123"/>
      <c r="N50" s="123"/>
      <c r="O50" s="124"/>
      <c r="P50" s="116">
        <f t="shared" si="3"/>
        <v>0</v>
      </c>
      <c r="Q50" s="123"/>
      <c r="R50" s="123"/>
      <c r="S50" s="125"/>
      <c r="T50" s="113">
        <f t="shared" si="4"/>
        <v>0</v>
      </c>
      <c r="U50" s="126"/>
      <c r="V50" s="127"/>
      <c r="W50" s="117">
        <f t="shared" si="6"/>
        <v>0</v>
      </c>
      <c r="X50" s="118" t="e">
        <f t="shared" si="5"/>
        <v>#DIV/0!</v>
      </c>
      <c r="Y50" s="128"/>
    </row>
    <row r="51" spans="1:25" ht="20" customHeight="1" x14ac:dyDescent="0.25">
      <c r="A51" s="120" t="s">
        <v>167</v>
      </c>
      <c r="B51" s="121"/>
      <c r="C51" s="122"/>
      <c r="D51" s="113">
        <f t="shared" si="8"/>
        <v>0</v>
      </c>
      <c r="E51" s="123"/>
      <c r="F51" s="123"/>
      <c r="G51" s="124"/>
      <c r="H51" s="116">
        <f t="shared" si="7"/>
        <v>0</v>
      </c>
      <c r="I51" s="123"/>
      <c r="J51" s="123"/>
      <c r="K51" s="125"/>
      <c r="L51" s="113">
        <f t="shared" si="2"/>
        <v>0</v>
      </c>
      <c r="M51" s="123"/>
      <c r="N51" s="123"/>
      <c r="O51" s="124"/>
      <c r="P51" s="116">
        <f t="shared" si="3"/>
        <v>0</v>
      </c>
      <c r="Q51" s="123"/>
      <c r="R51" s="123"/>
      <c r="S51" s="125"/>
      <c r="T51" s="113">
        <f t="shared" si="4"/>
        <v>0</v>
      </c>
      <c r="U51" s="126"/>
      <c r="V51" s="127"/>
      <c r="W51" s="117">
        <f t="shared" si="6"/>
        <v>0</v>
      </c>
      <c r="X51" s="118" t="e">
        <f t="shared" si="5"/>
        <v>#DIV/0!</v>
      </c>
      <c r="Y51" s="128"/>
    </row>
    <row r="52" spans="1:25" ht="20" customHeight="1" x14ac:dyDescent="0.25">
      <c r="A52" s="120" t="s">
        <v>168</v>
      </c>
      <c r="B52" s="121"/>
      <c r="C52" s="122"/>
      <c r="D52" s="113">
        <f t="shared" si="8"/>
        <v>0</v>
      </c>
      <c r="E52" s="123"/>
      <c r="F52" s="123"/>
      <c r="G52" s="124"/>
      <c r="H52" s="116">
        <f t="shared" si="7"/>
        <v>0</v>
      </c>
      <c r="I52" s="123"/>
      <c r="J52" s="123"/>
      <c r="K52" s="125"/>
      <c r="L52" s="113">
        <f t="shared" si="2"/>
        <v>0</v>
      </c>
      <c r="M52" s="123"/>
      <c r="N52" s="123"/>
      <c r="O52" s="124"/>
      <c r="P52" s="116">
        <f t="shared" si="3"/>
        <v>0</v>
      </c>
      <c r="Q52" s="123"/>
      <c r="R52" s="123"/>
      <c r="S52" s="125"/>
      <c r="T52" s="113">
        <f t="shared" si="4"/>
        <v>0</v>
      </c>
      <c r="U52" s="126"/>
      <c r="V52" s="127"/>
      <c r="W52" s="117">
        <f t="shared" si="6"/>
        <v>0</v>
      </c>
      <c r="X52" s="118" t="e">
        <f t="shared" si="5"/>
        <v>#DIV/0!</v>
      </c>
      <c r="Y52" s="128"/>
    </row>
    <row r="53" spans="1:25" ht="20" customHeight="1" x14ac:dyDescent="0.25">
      <c r="A53" s="120" t="s">
        <v>169</v>
      </c>
      <c r="B53" s="121"/>
      <c r="C53" s="122"/>
      <c r="D53" s="113">
        <f t="shared" si="8"/>
        <v>0</v>
      </c>
      <c r="E53" s="123"/>
      <c r="F53" s="123"/>
      <c r="G53" s="124"/>
      <c r="H53" s="116">
        <f t="shared" si="7"/>
        <v>0</v>
      </c>
      <c r="I53" s="123"/>
      <c r="J53" s="123"/>
      <c r="K53" s="125"/>
      <c r="L53" s="113">
        <f t="shared" si="2"/>
        <v>0</v>
      </c>
      <c r="M53" s="123"/>
      <c r="N53" s="123"/>
      <c r="O53" s="124"/>
      <c r="P53" s="116">
        <f t="shared" si="3"/>
        <v>0</v>
      </c>
      <c r="Q53" s="123"/>
      <c r="R53" s="123"/>
      <c r="S53" s="125"/>
      <c r="T53" s="113">
        <f t="shared" si="4"/>
        <v>0</v>
      </c>
      <c r="U53" s="126"/>
      <c r="V53" s="126"/>
      <c r="W53" s="117">
        <f t="shared" si="6"/>
        <v>0</v>
      </c>
      <c r="X53" s="118" t="e">
        <f t="shared" si="5"/>
        <v>#DIV/0!</v>
      </c>
      <c r="Y53" s="128"/>
    </row>
    <row r="54" spans="1:25" ht="20" customHeight="1" x14ac:dyDescent="0.25">
      <c r="A54" s="120" t="s">
        <v>170</v>
      </c>
      <c r="B54" s="121"/>
      <c r="C54" s="122"/>
      <c r="D54" s="113">
        <f t="shared" si="8"/>
        <v>0</v>
      </c>
      <c r="E54" s="123"/>
      <c r="F54" s="123"/>
      <c r="G54" s="124"/>
      <c r="H54" s="116">
        <f t="shared" si="7"/>
        <v>0</v>
      </c>
      <c r="I54" s="123"/>
      <c r="J54" s="123"/>
      <c r="K54" s="125"/>
      <c r="L54" s="113">
        <f t="shared" si="2"/>
        <v>0</v>
      </c>
      <c r="M54" s="123"/>
      <c r="N54" s="123"/>
      <c r="O54" s="124"/>
      <c r="P54" s="116">
        <f t="shared" si="3"/>
        <v>0</v>
      </c>
      <c r="Q54" s="123"/>
      <c r="R54" s="123"/>
      <c r="S54" s="125"/>
      <c r="T54" s="113">
        <f t="shared" si="4"/>
        <v>0</v>
      </c>
      <c r="U54" s="126"/>
      <c r="V54" s="127"/>
      <c r="W54" s="117">
        <f t="shared" si="6"/>
        <v>0</v>
      </c>
      <c r="X54" s="118" t="e">
        <f t="shared" si="5"/>
        <v>#DIV/0!</v>
      </c>
      <c r="Y54" s="128"/>
    </row>
    <row r="55" spans="1:25" ht="20" customHeight="1" x14ac:dyDescent="0.25">
      <c r="A55" s="120" t="s">
        <v>171</v>
      </c>
      <c r="B55" s="121"/>
      <c r="C55" s="122"/>
      <c r="D55" s="113">
        <f t="shared" si="8"/>
        <v>0</v>
      </c>
      <c r="E55" s="123"/>
      <c r="F55" s="123"/>
      <c r="G55" s="124"/>
      <c r="H55" s="116">
        <f t="shared" si="7"/>
        <v>0</v>
      </c>
      <c r="I55" s="123"/>
      <c r="J55" s="123"/>
      <c r="K55" s="125"/>
      <c r="L55" s="113">
        <f t="shared" si="2"/>
        <v>0</v>
      </c>
      <c r="M55" s="123"/>
      <c r="N55" s="123"/>
      <c r="O55" s="124"/>
      <c r="P55" s="116">
        <f t="shared" si="3"/>
        <v>0</v>
      </c>
      <c r="Q55" s="123"/>
      <c r="R55" s="123"/>
      <c r="S55" s="125"/>
      <c r="T55" s="113">
        <f t="shared" si="4"/>
        <v>0</v>
      </c>
      <c r="U55" s="126"/>
      <c r="V55" s="127"/>
      <c r="W55" s="117">
        <f t="shared" si="6"/>
        <v>0</v>
      </c>
      <c r="X55" s="118" t="e">
        <f t="shared" si="5"/>
        <v>#DIV/0!</v>
      </c>
      <c r="Y55" s="128"/>
    </row>
    <row r="56" spans="1:25" ht="20" customHeight="1" x14ac:dyDescent="0.25">
      <c r="A56" s="120" t="s">
        <v>172</v>
      </c>
      <c r="B56" s="121"/>
      <c r="C56" s="122"/>
      <c r="D56" s="113">
        <f t="shared" si="8"/>
        <v>0</v>
      </c>
      <c r="E56" s="123"/>
      <c r="F56" s="123"/>
      <c r="G56" s="124"/>
      <c r="H56" s="116">
        <f t="shared" si="7"/>
        <v>0</v>
      </c>
      <c r="I56" s="123"/>
      <c r="J56" s="123"/>
      <c r="K56" s="125"/>
      <c r="L56" s="113">
        <f t="shared" si="2"/>
        <v>0</v>
      </c>
      <c r="M56" s="123"/>
      <c r="N56" s="123"/>
      <c r="O56" s="124"/>
      <c r="P56" s="116">
        <f t="shared" si="3"/>
        <v>0</v>
      </c>
      <c r="Q56" s="123"/>
      <c r="R56" s="123"/>
      <c r="S56" s="125"/>
      <c r="T56" s="113">
        <f t="shared" si="4"/>
        <v>0</v>
      </c>
      <c r="U56" s="126"/>
      <c r="V56" s="127"/>
      <c r="W56" s="117">
        <f t="shared" si="6"/>
        <v>0</v>
      </c>
      <c r="X56" s="118" t="e">
        <f t="shared" si="5"/>
        <v>#DIV/0!</v>
      </c>
      <c r="Y56" s="128"/>
    </row>
    <row r="57" spans="1:25" ht="20" customHeight="1" x14ac:dyDescent="0.25">
      <c r="A57" s="120" t="s">
        <v>137</v>
      </c>
      <c r="B57" s="121"/>
      <c r="C57" s="122"/>
      <c r="D57" s="113">
        <f t="shared" si="8"/>
        <v>0</v>
      </c>
      <c r="E57" s="123"/>
      <c r="F57" s="123"/>
      <c r="G57" s="124"/>
      <c r="H57" s="116">
        <f t="shared" si="7"/>
        <v>0</v>
      </c>
      <c r="I57" s="123"/>
      <c r="J57" s="123"/>
      <c r="K57" s="125"/>
      <c r="L57" s="113">
        <f t="shared" si="2"/>
        <v>0</v>
      </c>
      <c r="M57" s="123"/>
      <c r="N57" s="123"/>
      <c r="O57" s="124"/>
      <c r="P57" s="116">
        <f t="shared" si="3"/>
        <v>0</v>
      </c>
      <c r="Q57" s="123"/>
      <c r="R57" s="123"/>
      <c r="S57" s="125"/>
      <c r="T57" s="113">
        <f t="shared" si="4"/>
        <v>0</v>
      </c>
      <c r="U57" s="126"/>
      <c r="V57" s="127"/>
      <c r="W57" s="117">
        <f t="shared" si="6"/>
        <v>0</v>
      </c>
      <c r="X57" s="118" t="e">
        <f t="shared" si="5"/>
        <v>#DIV/0!</v>
      </c>
      <c r="Y57" s="128"/>
    </row>
    <row r="58" spans="1:25" ht="20" customHeight="1" x14ac:dyDescent="0.25">
      <c r="A58" s="131" t="s">
        <v>173</v>
      </c>
      <c r="B58" s="121"/>
      <c r="C58" s="122"/>
      <c r="D58" s="113">
        <f t="shared" si="8"/>
        <v>0</v>
      </c>
      <c r="E58" s="123"/>
      <c r="F58" s="123"/>
      <c r="G58" s="124"/>
      <c r="H58" s="116">
        <f t="shared" si="7"/>
        <v>0</v>
      </c>
      <c r="I58" s="123"/>
      <c r="J58" s="123"/>
      <c r="K58" s="125"/>
      <c r="L58" s="113">
        <f t="shared" si="2"/>
        <v>0</v>
      </c>
      <c r="M58" s="123"/>
      <c r="N58" s="123"/>
      <c r="O58" s="124"/>
      <c r="P58" s="116">
        <f t="shared" si="3"/>
        <v>0</v>
      </c>
      <c r="Q58" s="123"/>
      <c r="R58" s="123"/>
      <c r="S58" s="125"/>
      <c r="T58" s="113">
        <f t="shared" si="4"/>
        <v>0</v>
      </c>
      <c r="U58" s="126"/>
      <c r="V58" s="127"/>
      <c r="W58" s="117">
        <f t="shared" si="6"/>
        <v>0</v>
      </c>
      <c r="X58" s="118" t="e">
        <f t="shared" si="5"/>
        <v>#DIV/0!</v>
      </c>
      <c r="Y58" s="128"/>
    </row>
    <row r="59" spans="1:25" ht="20" customHeight="1" x14ac:dyDescent="0.25">
      <c r="A59" s="120" t="s">
        <v>174</v>
      </c>
      <c r="B59" s="121"/>
      <c r="C59" s="122"/>
      <c r="D59" s="113">
        <f t="shared" si="8"/>
        <v>0</v>
      </c>
      <c r="E59" s="123"/>
      <c r="F59" s="123"/>
      <c r="G59" s="124"/>
      <c r="H59" s="116">
        <f t="shared" si="7"/>
        <v>0</v>
      </c>
      <c r="I59" s="123"/>
      <c r="J59" s="123"/>
      <c r="K59" s="125"/>
      <c r="L59" s="113">
        <f t="shared" si="2"/>
        <v>0</v>
      </c>
      <c r="M59" s="123"/>
      <c r="N59" s="123"/>
      <c r="O59" s="124"/>
      <c r="P59" s="116">
        <f t="shared" si="3"/>
        <v>0</v>
      </c>
      <c r="Q59" s="123"/>
      <c r="R59" s="123"/>
      <c r="S59" s="125"/>
      <c r="T59" s="113">
        <f t="shared" si="4"/>
        <v>0</v>
      </c>
      <c r="U59" s="126"/>
      <c r="V59" s="127"/>
      <c r="W59" s="117">
        <f t="shared" si="6"/>
        <v>0</v>
      </c>
      <c r="X59" s="118" t="e">
        <f t="shared" si="5"/>
        <v>#DIV/0!</v>
      </c>
      <c r="Y59" s="128"/>
    </row>
    <row r="60" spans="1:25" ht="20" customHeight="1" x14ac:dyDescent="0.25">
      <c r="A60" s="120" t="s">
        <v>175</v>
      </c>
      <c r="B60" s="121"/>
      <c r="C60" s="122"/>
      <c r="D60" s="113">
        <f t="shared" si="8"/>
        <v>0</v>
      </c>
      <c r="E60" s="123"/>
      <c r="F60" s="123"/>
      <c r="G60" s="124"/>
      <c r="H60" s="116">
        <f t="shared" si="7"/>
        <v>0</v>
      </c>
      <c r="I60" s="123"/>
      <c r="J60" s="123"/>
      <c r="K60" s="125"/>
      <c r="L60" s="113">
        <f t="shared" si="2"/>
        <v>0</v>
      </c>
      <c r="M60" s="123"/>
      <c r="N60" s="123"/>
      <c r="O60" s="124"/>
      <c r="P60" s="116">
        <f t="shared" si="3"/>
        <v>0</v>
      </c>
      <c r="Q60" s="123"/>
      <c r="R60" s="123"/>
      <c r="S60" s="125"/>
      <c r="T60" s="113">
        <f t="shared" si="4"/>
        <v>0</v>
      </c>
      <c r="U60" s="126"/>
      <c r="V60" s="127"/>
      <c r="W60" s="117">
        <f t="shared" si="6"/>
        <v>0</v>
      </c>
      <c r="X60" s="118" t="e">
        <f t="shared" si="5"/>
        <v>#DIV/0!</v>
      </c>
      <c r="Y60" s="128"/>
    </row>
    <row r="61" spans="1:25" ht="20" customHeight="1" x14ac:dyDescent="0.25">
      <c r="A61" s="120" t="s">
        <v>176</v>
      </c>
      <c r="B61" s="121"/>
      <c r="C61" s="122"/>
      <c r="D61" s="113">
        <f t="shared" si="8"/>
        <v>0</v>
      </c>
      <c r="E61" s="123"/>
      <c r="F61" s="123"/>
      <c r="G61" s="124"/>
      <c r="H61" s="116">
        <f t="shared" si="7"/>
        <v>0</v>
      </c>
      <c r="I61" s="123"/>
      <c r="J61" s="123"/>
      <c r="K61" s="125"/>
      <c r="L61" s="113">
        <f t="shared" si="2"/>
        <v>0</v>
      </c>
      <c r="M61" s="123"/>
      <c r="N61" s="123"/>
      <c r="O61" s="124"/>
      <c r="P61" s="116">
        <f t="shared" si="3"/>
        <v>0</v>
      </c>
      <c r="Q61" s="123"/>
      <c r="R61" s="123"/>
      <c r="S61" s="125"/>
      <c r="T61" s="113">
        <f t="shared" si="4"/>
        <v>0</v>
      </c>
      <c r="U61" s="126"/>
      <c r="V61" s="127"/>
      <c r="W61" s="117">
        <f t="shared" si="6"/>
        <v>0</v>
      </c>
      <c r="X61" s="118" t="e">
        <f t="shared" si="5"/>
        <v>#DIV/0!</v>
      </c>
      <c r="Y61" s="128"/>
    </row>
    <row r="62" spans="1:25" ht="20" customHeight="1" x14ac:dyDescent="0.25">
      <c r="A62" s="120" t="s">
        <v>177</v>
      </c>
      <c r="B62" s="121"/>
      <c r="C62" s="122"/>
      <c r="D62" s="113">
        <f t="shared" si="8"/>
        <v>0</v>
      </c>
      <c r="E62" s="123"/>
      <c r="F62" s="123"/>
      <c r="G62" s="124"/>
      <c r="H62" s="116">
        <f t="shared" si="7"/>
        <v>0</v>
      </c>
      <c r="I62" s="123"/>
      <c r="J62" s="123"/>
      <c r="K62" s="125"/>
      <c r="L62" s="113">
        <f t="shared" si="2"/>
        <v>0</v>
      </c>
      <c r="M62" s="123"/>
      <c r="N62" s="123"/>
      <c r="O62" s="124"/>
      <c r="P62" s="116">
        <f t="shared" si="3"/>
        <v>0</v>
      </c>
      <c r="Q62" s="123"/>
      <c r="R62" s="123"/>
      <c r="S62" s="125"/>
      <c r="T62" s="113">
        <f t="shared" si="4"/>
        <v>0</v>
      </c>
      <c r="U62" s="126"/>
      <c r="V62" s="127"/>
      <c r="W62" s="117">
        <f t="shared" si="6"/>
        <v>0</v>
      </c>
      <c r="X62" s="118" t="e">
        <f t="shared" si="5"/>
        <v>#DIV/0!</v>
      </c>
      <c r="Y62" s="128"/>
    </row>
    <row r="63" spans="1:25" ht="20" customHeight="1" x14ac:dyDescent="0.25">
      <c r="A63" s="120" t="s">
        <v>178</v>
      </c>
      <c r="B63" s="121"/>
      <c r="C63" s="122"/>
      <c r="D63" s="113">
        <f t="shared" si="8"/>
        <v>0</v>
      </c>
      <c r="E63" s="123"/>
      <c r="F63" s="123"/>
      <c r="G63" s="124"/>
      <c r="H63" s="116">
        <f t="shared" si="7"/>
        <v>0</v>
      </c>
      <c r="I63" s="123"/>
      <c r="J63" s="123"/>
      <c r="K63" s="125"/>
      <c r="L63" s="113">
        <f t="shared" si="2"/>
        <v>0</v>
      </c>
      <c r="M63" s="123"/>
      <c r="N63" s="123"/>
      <c r="O63" s="124"/>
      <c r="P63" s="116">
        <f t="shared" si="3"/>
        <v>0</v>
      </c>
      <c r="Q63" s="123"/>
      <c r="R63" s="123"/>
      <c r="S63" s="125"/>
      <c r="T63" s="113">
        <f t="shared" si="4"/>
        <v>0</v>
      </c>
      <c r="U63" s="126"/>
      <c r="V63" s="127"/>
      <c r="W63" s="117">
        <f t="shared" si="6"/>
        <v>0</v>
      </c>
      <c r="X63" s="118" t="e">
        <f t="shared" si="5"/>
        <v>#DIV/0!</v>
      </c>
      <c r="Y63" s="128"/>
    </row>
    <row r="64" spans="1:25" ht="20" customHeight="1" x14ac:dyDescent="0.25">
      <c r="A64" s="120" t="s">
        <v>137</v>
      </c>
      <c r="B64" s="121"/>
      <c r="C64" s="122"/>
      <c r="D64" s="113">
        <f t="shared" si="8"/>
        <v>0</v>
      </c>
      <c r="E64" s="123"/>
      <c r="F64" s="123"/>
      <c r="G64" s="124"/>
      <c r="H64" s="116">
        <f t="shared" si="7"/>
        <v>0</v>
      </c>
      <c r="I64" s="123"/>
      <c r="J64" s="123"/>
      <c r="K64" s="125"/>
      <c r="L64" s="113">
        <f t="shared" si="2"/>
        <v>0</v>
      </c>
      <c r="M64" s="123"/>
      <c r="N64" s="123"/>
      <c r="O64" s="124"/>
      <c r="P64" s="116">
        <f t="shared" si="3"/>
        <v>0</v>
      </c>
      <c r="Q64" s="123"/>
      <c r="R64" s="123"/>
      <c r="S64" s="125"/>
      <c r="T64" s="113">
        <f t="shared" si="4"/>
        <v>0</v>
      </c>
      <c r="U64" s="126"/>
      <c r="V64" s="127"/>
      <c r="W64" s="117">
        <f t="shared" si="6"/>
        <v>0</v>
      </c>
      <c r="X64" s="118" t="e">
        <f t="shared" si="5"/>
        <v>#DIV/0!</v>
      </c>
      <c r="Y64" s="128"/>
    </row>
    <row r="65" spans="1:25" ht="20" customHeight="1" x14ac:dyDescent="0.25">
      <c r="A65" s="131" t="s">
        <v>179</v>
      </c>
      <c r="B65" s="121"/>
      <c r="C65" s="122"/>
      <c r="D65" s="113">
        <f t="shared" si="8"/>
        <v>0</v>
      </c>
      <c r="E65" s="123"/>
      <c r="F65" s="123"/>
      <c r="G65" s="124"/>
      <c r="H65" s="116">
        <f t="shared" si="7"/>
        <v>0</v>
      </c>
      <c r="I65" s="123"/>
      <c r="J65" s="123"/>
      <c r="K65" s="125"/>
      <c r="L65" s="113">
        <f t="shared" si="2"/>
        <v>0</v>
      </c>
      <c r="M65" s="123"/>
      <c r="N65" s="123"/>
      <c r="O65" s="124"/>
      <c r="P65" s="116">
        <f t="shared" si="3"/>
        <v>0</v>
      </c>
      <c r="Q65" s="123"/>
      <c r="R65" s="123"/>
      <c r="S65" s="125"/>
      <c r="T65" s="113">
        <f t="shared" si="4"/>
        <v>0</v>
      </c>
      <c r="U65" s="126"/>
      <c r="V65" s="127"/>
      <c r="W65" s="117">
        <f t="shared" si="6"/>
        <v>0</v>
      </c>
      <c r="X65" s="118" t="e">
        <f t="shared" si="5"/>
        <v>#DIV/0!</v>
      </c>
      <c r="Y65" s="128"/>
    </row>
    <row r="66" spans="1:25" ht="20" customHeight="1" x14ac:dyDescent="0.25">
      <c r="A66" s="131" t="s">
        <v>180</v>
      </c>
      <c r="B66" s="121"/>
      <c r="C66" s="122"/>
      <c r="D66" s="113">
        <f t="shared" si="8"/>
        <v>0</v>
      </c>
      <c r="E66" s="123"/>
      <c r="F66" s="123"/>
      <c r="G66" s="124"/>
      <c r="H66" s="116">
        <f t="shared" si="7"/>
        <v>0</v>
      </c>
      <c r="I66" s="123"/>
      <c r="J66" s="123"/>
      <c r="K66" s="125"/>
      <c r="L66" s="113">
        <f t="shared" si="2"/>
        <v>0</v>
      </c>
      <c r="M66" s="123"/>
      <c r="N66" s="123"/>
      <c r="O66" s="124"/>
      <c r="P66" s="116">
        <f t="shared" si="3"/>
        <v>0</v>
      </c>
      <c r="Q66" s="123"/>
      <c r="R66" s="123"/>
      <c r="S66" s="125"/>
      <c r="T66" s="113">
        <f t="shared" si="4"/>
        <v>0</v>
      </c>
      <c r="U66" s="126"/>
      <c r="V66" s="127"/>
      <c r="W66" s="117">
        <f t="shared" si="6"/>
        <v>0</v>
      </c>
      <c r="X66" s="118" t="e">
        <f t="shared" si="5"/>
        <v>#DIV/0!</v>
      </c>
      <c r="Y66" s="128"/>
    </row>
    <row r="67" spans="1:25" ht="20" customHeight="1" x14ac:dyDescent="0.25">
      <c r="A67" s="131" t="s">
        <v>181</v>
      </c>
      <c r="B67" s="121"/>
      <c r="C67" s="122"/>
      <c r="D67" s="113">
        <f t="shared" si="8"/>
        <v>0</v>
      </c>
      <c r="E67" s="123"/>
      <c r="F67" s="123"/>
      <c r="G67" s="124"/>
      <c r="H67" s="116">
        <f t="shared" si="7"/>
        <v>0</v>
      </c>
      <c r="I67" s="123"/>
      <c r="J67" s="123"/>
      <c r="K67" s="125"/>
      <c r="L67" s="113">
        <f t="shared" si="2"/>
        <v>0</v>
      </c>
      <c r="M67" s="123"/>
      <c r="N67" s="123"/>
      <c r="O67" s="124"/>
      <c r="P67" s="116">
        <f t="shared" si="3"/>
        <v>0</v>
      </c>
      <c r="Q67" s="123"/>
      <c r="R67" s="123"/>
      <c r="S67" s="125"/>
      <c r="T67" s="113">
        <f t="shared" si="4"/>
        <v>0</v>
      </c>
      <c r="U67" s="126"/>
      <c r="V67" s="127"/>
      <c r="W67" s="117">
        <f t="shared" si="6"/>
        <v>0</v>
      </c>
      <c r="X67" s="118" t="e">
        <f t="shared" si="5"/>
        <v>#DIV/0!</v>
      </c>
      <c r="Y67" s="128"/>
    </row>
    <row r="68" spans="1:25" ht="20" customHeight="1" x14ac:dyDescent="0.25">
      <c r="A68" s="131" t="s">
        <v>182</v>
      </c>
      <c r="B68" s="121"/>
      <c r="C68" s="122"/>
      <c r="D68" s="113">
        <f t="shared" si="8"/>
        <v>0</v>
      </c>
      <c r="E68" s="123"/>
      <c r="F68" s="123"/>
      <c r="G68" s="124"/>
      <c r="H68" s="116">
        <f t="shared" si="7"/>
        <v>0</v>
      </c>
      <c r="I68" s="123"/>
      <c r="J68" s="123"/>
      <c r="K68" s="125"/>
      <c r="L68" s="113">
        <f t="shared" si="2"/>
        <v>0</v>
      </c>
      <c r="M68" s="123"/>
      <c r="N68" s="123"/>
      <c r="O68" s="124"/>
      <c r="P68" s="116">
        <f t="shared" si="3"/>
        <v>0</v>
      </c>
      <c r="Q68" s="123"/>
      <c r="R68" s="123"/>
      <c r="S68" s="125"/>
      <c r="T68" s="113">
        <f t="shared" si="4"/>
        <v>0</v>
      </c>
      <c r="U68" s="126"/>
      <c r="V68" s="127"/>
      <c r="W68" s="117">
        <f t="shared" si="6"/>
        <v>0</v>
      </c>
      <c r="X68" s="118" t="e">
        <f t="shared" si="5"/>
        <v>#DIV/0!</v>
      </c>
      <c r="Y68" s="128"/>
    </row>
    <row r="69" spans="1:25" ht="20" customHeight="1" x14ac:dyDescent="0.25">
      <c r="A69" s="131" t="s">
        <v>183</v>
      </c>
      <c r="B69" s="121"/>
      <c r="C69" s="122"/>
      <c r="D69" s="113">
        <f t="shared" si="8"/>
        <v>0</v>
      </c>
      <c r="E69" s="123"/>
      <c r="F69" s="123"/>
      <c r="G69" s="124"/>
      <c r="H69" s="116">
        <f t="shared" si="7"/>
        <v>0</v>
      </c>
      <c r="I69" s="123"/>
      <c r="J69" s="123"/>
      <c r="K69" s="125"/>
      <c r="L69" s="113">
        <f t="shared" ref="L69:L91" si="9">SUM(M69:O69)</f>
        <v>0</v>
      </c>
      <c r="M69" s="123"/>
      <c r="N69" s="123"/>
      <c r="O69" s="124"/>
      <c r="P69" s="116">
        <f t="shared" ref="P69:P91" si="10">SUM(Q69:S69)</f>
        <v>0</v>
      </c>
      <c r="Q69" s="123"/>
      <c r="R69" s="123"/>
      <c r="S69" s="125"/>
      <c r="T69" s="113">
        <f t="shared" ref="T69:T92" si="11">D69+H69+L69+P69</f>
        <v>0</v>
      </c>
      <c r="U69" s="126"/>
      <c r="V69" s="127"/>
      <c r="W69" s="117">
        <f t="shared" si="6"/>
        <v>0</v>
      </c>
      <c r="X69" s="118" t="e">
        <f t="shared" si="5"/>
        <v>#DIV/0!</v>
      </c>
      <c r="Y69" s="128"/>
    </row>
    <row r="70" spans="1:25" ht="20" customHeight="1" x14ac:dyDescent="0.25">
      <c r="A70" s="131" t="s">
        <v>184</v>
      </c>
      <c r="B70" s="121"/>
      <c r="C70" s="122"/>
      <c r="D70" s="113">
        <f t="shared" si="8"/>
        <v>0</v>
      </c>
      <c r="E70" s="123"/>
      <c r="F70" s="123"/>
      <c r="G70" s="124"/>
      <c r="H70" s="116">
        <f t="shared" si="7"/>
        <v>0</v>
      </c>
      <c r="I70" s="123"/>
      <c r="J70" s="123"/>
      <c r="K70" s="125"/>
      <c r="L70" s="113">
        <f t="shared" si="9"/>
        <v>0</v>
      </c>
      <c r="M70" s="123"/>
      <c r="N70" s="123"/>
      <c r="O70" s="124"/>
      <c r="P70" s="116">
        <f t="shared" si="10"/>
        <v>0</v>
      </c>
      <c r="Q70" s="123"/>
      <c r="R70" s="123"/>
      <c r="S70" s="125"/>
      <c r="T70" s="113">
        <f t="shared" si="11"/>
        <v>0</v>
      </c>
      <c r="U70" s="126"/>
      <c r="V70" s="127"/>
      <c r="W70" s="117">
        <f t="shared" si="6"/>
        <v>0</v>
      </c>
      <c r="X70" s="118" t="e">
        <f t="shared" ref="X70:X94" si="12">W70/T70</f>
        <v>#DIV/0!</v>
      </c>
      <c r="Y70" s="128"/>
    </row>
    <row r="71" spans="1:25" ht="20" customHeight="1" x14ac:dyDescent="0.25">
      <c r="A71" s="131" t="s">
        <v>185</v>
      </c>
      <c r="B71" s="121"/>
      <c r="C71" s="122"/>
      <c r="D71" s="113">
        <f t="shared" si="8"/>
        <v>0</v>
      </c>
      <c r="E71" s="123"/>
      <c r="F71" s="123"/>
      <c r="G71" s="124"/>
      <c r="H71" s="116">
        <f t="shared" si="7"/>
        <v>0</v>
      </c>
      <c r="I71" s="123"/>
      <c r="J71" s="123"/>
      <c r="K71" s="125"/>
      <c r="L71" s="113">
        <f t="shared" si="9"/>
        <v>0</v>
      </c>
      <c r="M71" s="123"/>
      <c r="N71" s="123"/>
      <c r="O71" s="124"/>
      <c r="P71" s="116">
        <f t="shared" si="10"/>
        <v>0</v>
      </c>
      <c r="Q71" s="123"/>
      <c r="R71" s="123"/>
      <c r="S71" s="125"/>
      <c r="T71" s="113">
        <f t="shared" si="11"/>
        <v>0</v>
      </c>
      <c r="U71" s="126"/>
      <c r="V71" s="127"/>
      <c r="W71" s="117">
        <f t="shared" ref="W71:W94" si="13">T71-V71</f>
        <v>0</v>
      </c>
      <c r="X71" s="118" t="e">
        <f t="shared" si="12"/>
        <v>#DIV/0!</v>
      </c>
      <c r="Y71" s="128"/>
    </row>
    <row r="72" spans="1:25" ht="20" customHeight="1" x14ac:dyDescent="0.25">
      <c r="A72" s="131" t="s">
        <v>186</v>
      </c>
      <c r="B72" s="121"/>
      <c r="C72" s="122"/>
      <c r="D72" s="113">
        <f t="shared" si="8"/>
        <v>0</v>
      </c>
      <c r="E72" s="123"/>
      <c r="F72" s="123"/>
      <c r="G72" s="124"/>
      <c r="H72" s="116">
        <f t="shared" si="7"/>
        <v>0</v>
      </c>
      <c r="I72" s="123"/>
      <c r="J72" s="123"/>
      <c r="K72" s="125"/>
      <c r="L72" s="113">
        <f t="shared" si="9"/>
        <v>0</v>
      </c>
      <c r="M72" s="123"/>
      <c r="N72" s="123"/>
      <c r="O72" s="124"/>
      <c r="P72" s="116">
        <f t="shared" si="10"/>
        <v>0</v>
      </c>
      <c r="Q72" s="123"/>
      <c r="R72" s="123"/>
      <c r="S72" s="125"/>
      <c r="T72" s="113">
        <f t="shared" si="11"/>
        <v>0</v>
      </c>
      <c r="U72" s="126"/>
      <c r="V72" s="127"/>
      <c r="W72" s="117">
        <f t="shared" si="13"/>
        <v>0</v>
      </c>
      <c r="X72" s="118" t="e">
        <f t="shared" si="12"/>
        <v>#DIV/0!</v>
      </c>
      <c r="Y72" s="128"/>
    </row>
    <row r="73" spans="1:25" ht="20" customHeight="1" x14ac:dyDescent="0.25">
      <c r="A73" s="131" t="s">
        <v>137</v>
      </c>
      <c r="B73" s="135"/>
      <c r="C73" s="122"/>
      <c r="D73" s="113">
        <f t="shared" si="8"/>
        <v>0</v>
      </c>
      <c r="E73" s="123"/>
      <c r="F73" s="123"/>
      <c r="G73" s="124"/>
      <c r="H73" s="116">
        <f t="shared" si="7"/>
        <v>0</v>
      </c>
      <c r="I73" s="123"/>
      <c r="J73" s="123"/>
      <c r="K73" s="125"/>
      <c r="L73" s="113">
        <f t="shared" si="9"/>
        <v>0</v>
      </c>
      <c r="M73" s="123"/>
      <c r="N73" s="123"/>
      <c r="O73" s="124"/>
      <c r="P73" s="116">
        <f t="shared" si="10"/>
        <v>0</v>
      </c>
      <c r="Q73" s="123"/>
      <c r="R73" s="123"/>
      <c r="S73" s="125"/>
      <c r="T73" s="113">
        <f t="shared" si="11"/>
        <v>0</v>
      </c>
      <c r="U73" s="126"/>
      <c r="V73" s="136"/>
      <c r="W73" s="117">
        <f t="shared" si="13"/>
        <v>0</v>
      </c>
      <c r="X73" s="118" t="e">
        <f t="shared" si="12"/>
        <v>#DIV/0!</v>
      </c>
      <c r="Y73" s="128"/>
    </row>
    <row r="74" spans="1:25" ht="20" customHeight="1" x14ac:dyDescent="0.25">
      <c r="A74" s="131" t="s">
        <v>187</v>
      </c>
      <c r="B74" s="137"/>
      <c r="C74" s="122"/>
      <c r="D74" s="113">
        <f t="shared" si="8"/>
        <v>0</v>
      </c>
      <c r="E74" s="123"/>
      <c r="F74" s="123"/>
      <c r="G74" s="124"/>
      <c r="H74" s="116">
        <f t="shared" ref="H74:H91" si="14">SUM(I74:K74)</f>
        <v>0</v>
      </c>
      <c r="I74" s="123"/>
      <c r="J74" s="123"/>
      <c r="K74" s="125"/>
      <c r="L74" s="113">
        <f t="shared" si="9"/>
        <v>0</v>
      </c>
      <c r="M74" s="123"/>
      <c r="N74" s="123"/>
      <c r="O74" s="124"/>
      <c r="P74" s="116">
        <f t="shared" si="10"/>
        <v>0</v>
      </c>
      <c r="Q74" s="123"/>
      <c r="R74" s="123"/>
      <c r="S74" s="125"/>
      <c r="T74" s="113">
        <f t="shared" si="11"/>
        <v>0</v>
      </c>
      <c r="U74" s="126"/>
      <c r="V74" s="127"/>
      <c r="W74" s="117">
        <f t="shared" si="13"/>
        <v>0</v>
      </c>
      <c r="X74" s="118" t="e">
        <f t="shared" si="12"/>
        <v>#DIV/0!</v>
      </c>
      <c r="Y74" s="128"/>
    </row>
    <row r="75" spans="1:25" ht="20" customHeight="1" x14ac:dyDescent="0.25">
      <c r="A75" s="131" t="s">
        <v>188</v>
      </c>
      <c r="B75" s="138"/>
      <c r="C75" s="122"/>
      <c r="D75" s="113">
        <f t="shared" si="8"/>
        <v>0</v>
      </c>
      <c r="E75" s="123"/>
      <c r="F75" s="123"/>
      <c r="G75" s="124"/>
      <c r="H75" s="116">
        <f t="shared" si="14"/>
        <v>0</v>
      </c>
      <c r="I75" s="123"/>
      <c r="J75" s="123"/>
      <c r="K75" s="125"/>
      <c r="L75" s="113">
        <f t="shared" si="9"/>
        <v>0</v>
      </c>
      <c r="M75" s="123"/>
      <c r="N75" s="123"/>
      <c r="O75" s="124"/>
      <c r="P75" s="116">
        <f t="shared" si="10"/>
        <v>0</v>
      </c>
      <c r="Q75" s="123"/>
      <c r="R75" s="123"/>
      <c r="S75" s="125"/>
      <c r="T75" s="113">
        <f t="shared" si="11"/>
        <v>0</v>
      </c>
      <c r="U75" s="126"/>
      <c r="V75" s="127"/>
      <c r="W75" s="117">
        <f t="shared" si="13"/>
        <v>0</v>
      </c>
      <c r="X75" s="118" t="e">
        <f t="shared" si="12"/>
        <v>#DIV/0!</v>
      </c>
      <c r="Y75" s="128"/>
    </row>
    <row r="76" spans="1:25" ht="20" customHeight="1" x14ac:dyDescent="0.25">
      <c r="A76" s="131" t="s">
        <v>189</v>
      </c>
      <c r="B76" s="137"/>
      <c r="C76" s="122"/>
      <c r="D76" s="113">
        <f t="shared" si="8"/>
        <v>0</v>
      </c>
      <c r="E76" s="123"/>
      <c r="F76" s="123"/>
      <c r="G76" s="124"/>
      <c r="H76" s="116">
        <f t="shared" si="14"/>
        <v>0</v>
      </c>
      <c r="I76" s="123"/>
      <c r="J76" s="123"/>
      <c r="K76" s="125"/>
      <c r="L76" s="113">
        <f t="shared" si="9"/>
        <v>0</v>
      </c>
      <c r="M76" s="123"/>
      <c r="N76" s="123"/>
      <c r="O76" s="124"/>
      <c r="P76" s="116">
        <f t="shared" si="10"/>
        <v>0</v>
      </c>
      <c r="Q76" s="123"/>
      <c r="R76" s="123"/>
      <c r="S76" s="125"/>
      <c r="T76" s="113">
        <f t="shared" si="11"/>
        <v>0</v>
      </c>
      <c r="U76" s="126"/>
      <c r="V76" s="127"/>
      <c r="W76" s="117">
        <f t="shared" si="13"/>
        <v>0</v>
      </c>
      <c r="X76" s="118" t="e">
        <f t="shared" si="12"/>
        <v>#DIV/0!</v>
      </c>
      <c r="Y76" s="128"/>
    </row>
    <row r="77" spans="1:25" ht="20" customHeight="1" x14ac:dyDescent="0.25">
      <c r="A77" s="139" t="s">
        <v>190</v>
      </c>
      <c r="B77" s="140"/>
      <c r="C77" s="141"/>
      <c r="D77" s="113">
        <f t="shared" si="8"/>
        <v>0</v>
      </c>
      <c r="E77" s="142"/>
      <c r="F77" s="142"/>
      <c r="G77" s="143"/>
      <c r="H77" s="144">
        <f t="shared" si="14"/>
        <v>0</v>
      </c>
      <c r="I77" s="142"/>
      <c r="J77" s="142"/>
      <c r="K77" s="145"/>
      <c r="L77" s="113">
        <f t="shared" si="9"/>
        <v>0</v>
      </c>
      <c r="M77" s="142"/>
      <c r="N77" s="142"/>
      <c r="O77" s="143"/>
      <c r="P77" s="116">
        <f t="shared" si="10"/>
        <v>0</v>
      </c>
      <c r="Q77" s="142"/>
      <c r="R77" s="142"/>
      <c r="S77" s="145"/>
      <c r="T77" s="113">
        <f t="shared" si="11"/>
        <v>0</v>
      </c>
      <c r="U77" s="146"/>
      <c r="V77" s="147"/>
      <c r="W77" s="117">
        <f t="shared" si="13"/>
        <v>0</v>
      </c>
      <c r="X77" s="118" t="e">
        <f t="shared" si="12"/>
        <v>#DIV/0!</v>
      </c>
      <c r="Y77" s="148"/>
    </row>
    <row r="78" spans="1:25" ht="20" customHeight="1" x14ac:dyDescent="0.25">
      <c r="A78" s="149" t="s">
        <v>191</v>
      </c>
      <c r="B78" s="150"/>
      <c r="C78" s="151"/>
      <c r="D78" s="152">
        <f t="shared" si="8"/>
        <v>0</v>
      </c>
      <c r="E78" s="153"/>
      <c r="F78" s="153"/>
      <c r="G78" s="154"/>
      <c r="H78" s="155">
        <f t="shared" si="14"/>
        <v>0</v>
      </c>
      <c r="I78" s="153"/>
      <c r="J78" s="153"/>
      <c r="K78" s="156"/>
      <c r="L78" s="152">
        <f t="shared" si="9"/>
        <v>0</v>
      </c>
      <c r="M78" s="153"/>
      <c r="N78" s="153"/>
      <c r="O78" s="154"/>
      <c r="P78" s="157">
        <f t="shared" si="10"/>
        <v>0</v>
      </c>
      <c r="Q78" s="153"/>
      <c r="R78" s="153"/>
      <c r="S78" s="156"/>
      <c r="T78" s="113">
        <f t="shared" si="11"/>
        <v>0</v>
      </c>
      <c r="U78" s="158"/>
      <c r="V78" s="159"/>
      <c r="W78" s="117">
        <f t="shared" si="13"/>
        <v>0</v>
      </c>
      <c r="X78" s="118" t="e">
        <f t="shared" si="12"/>
        <v>#DIV/0!</v>
      </c>
      <c r="Y78" s="160"/>
    </row>
    <row r="79" spans="1:25" ht="20" customHeight="1" x14ac:dyDescent="0.25">
      <c r="A79" s="131" t="s">
        <v>192</v>
      </c>
      <c r="B79" s="137"/>
      <c r="C79" s="122"/>
      <c r="D79" s="161">
        <f t="shared" si="8"/>
        <v>0</v>
      </c>
      <c r="E79" s="123"/>
      <c r="F79" s="123"/>
      <c r="G79" s="124"/>
      <c r="H79" s="162">
        <f t="shared" si="14"/>
        <v>0</v>
      </c>
      <c r="I79" s="123"/>
      <c r="J79" s="123"/>
      <c r="K79" s="125"/>
      <c r="L79" s="161">
        <f t="shared" si="9"/>
        <v>0</v>
      </c>
      <c r="M79" s="123"/>
      <c r="N79" s="123"/>
      <c r="O79" s="124"/>
      <c r="P79" s="162">
        <f t="shared" si="10"/>
        <v>0</v>
      </c>
      <c r="Q79" s="123"/>
      <c r="R79" s="123"/>
      <c r="S79" s="125"/>
      <c r="T79" s="113">
        <f t="shared" si="11"/>
        <v>0</v>
      </c>
      <c r="U79" s="126"/>
      <c r="V79" s="127"/>
      <c r="W79" s="117">
        <f t="shared" si="13"/>
        <v>0</v>
      </c>
      <c r="X79" s="118" t="e">
        <f t="shared" si="12"/>
        <v>#DIV/0!</v>
      </c>
      <c r="Y79" s="128"/>
    </row>
    <row r="80" spans="1:25" ht="20" customHeight="1" x14ac:dyDescent="0.25">
      <c r="A80" s="131" t="s">
        <v>193</v>
      </c>
      <c r="B80" s="137"/>
      <c r="C80" s="122"/>
      <c r="D80" s="163">
        <f t="shared" si="8"/>
        <v>0</v>
      </c>
      <c r="E80" s="123"/>
      <c r="F80" s="123"/>
      <c r="G80" s="124"/>
      <c r="H80" s="162">
        <f t="shared" si="14"/>
        <v>0</v>
      </c>
      <c r="I80" s="123"/>
      <c r="J80" s="123"/>
      <c r="K80" s="125"/>
      <c r="L80" s="161">
        <f t="shared" si="9"/>
        <v>0</v>
      </c>
      <c r="M80" s="123"/>
      <c r="N80" s="123"/>
      <c r="O80" s="124"/>
      <c r="P80" s="162">
        <f t="shared" si="10"/>
        <v>0</v>
      </c>
      <c r="Q80" s="123"/>
      <c r="R80" s="123"/>
      <c r="S80" s="125"/>
      <c r="T80" s="113">
        <f t="shared" si="11"/>
        <v>0</v>
      </c>
      <c r="U80" s="126"/>
      <c r="V80" s="127"/>
      <c r="W80" s="117">
        <f t="shared" si="13"/>
        <v>0</v>
      </c>
      <c r="X80" s="118" t="e">
        <f t="shared" si="12"/>
        <v>#DIV/0!</v>
      </c>
      <c r="Y80" s="128"/>
    </row>
    <row r="81" spans="1:25" ht="20" customHeight="1" x14ac:dyDescent="0.25">
      <c r="A81" s="131" t="s">
        <v>194</v>
      </c>
      <c r="B81" s="137"/>
      <c r="C81" s="122"/>
      <c r="D81" s="163">
        <f t="shared" si="8"/>
        <v>0</v>
      </c>
      <c r="E81" s="123"/>
      <c r="F81" s="123"/>
      <c r="G81" s="124"/>
      <c r="H81" s="155">
        <f t="shared" si="14"/>
        <v>0</v>
      </c>
      <c r="I81" s="123"/>
      <c r="J81" s="123"/>
      <c r="K81" s="125"/>
      <c r="L81" s="161">
        <f t="shared" si="9"/>
        <v>0</v>
      </c>
      <c r="M81" s="123"/>
      <c r="N81" s="123"/>
      <c r="O81" s="124"/>
      <c r="P81" s="162">
        <f t="shared" si="10"/>
        <v>0</v>
      </c>
      <c r="Q81" s="123"/>
      <c r="R81" s="123"/>
      <c r="S81" s="125"/>
      <c r="T81" s="113">
        <f t="shared" si="11"/>
        <v>0</v>
      </c>
      <c r="U81" s="126"/>
      <c r="V81" s="127"/>
      <c r="W81" s="117">
        <f t="shared" si="13"/>
        <v>0</v>
      </c>
      <c r="X81" s="118" t="e">
        <f t="shared" si="12"/>
        <v>#DIV/0!</v>
      </c>
      <c r="Y81" s="128"/>
    </row>
    <row r="82" spans="1:25" ht="20" customHeight="1" x14ac:dyDescent="0.25">
      <c r="A82" s="131" t="s">
        <v>195</v>
      </c>
      <c r="B82" s="137"/>
      <c r="C82" s="122"/>
      <c r="D82" s="161">
        <f t="shared" si="8"/>
        <v>0</v>
      </c>
      <c r="E82" s="123"/>
      <c r="F82" s="123"/>
      <c r="G82" s="124"/>
      <c r="H82" s="155">
        <f t="shared" si="14"/>
        <v>0</v>
      </c>
      <c r="I82" s="123"/>
      <c r="J82" s="123"/>
      <c r="K82" s="125"/>
      <c r="L82" s="161">
        <f t="shared" si="9"/>
        <v>0</v>
      </c>
      <c r="M82" s="123"/>
      <c r="N82" s="123"/>
      <c r="O82" s="124"/>
      <c r="P82" s="162">
        <f t="shared" si="10"/>
        <v>0</v>
      </c>
      <c r="Q82" s="123"/>
      <c r="R82" s="123"/>
      <c r="S82" s="125"/>
      <c r="T82" s="113">
        <f t="shared" si="11"/>
        <v>0</v>
      </c>
      <c r="U82" s="126"/>
      <c r="V82" s="127"/>
      <c r="W82" s="117">
        <f t="shared" si="13"/>
        <v>0</v>
      </c>
      <c r="X82" s="118" t="e">
        <f t="shared" si="12"/>
        <v>#DIV/0!</v>
      </c>
      <c r="Y82" s="128"/>
    </row>
    <row r="83" spans="1:25" ht="20" customHeight="1" x14ac:dyDescent="0.25">
      <c r="A83" s="131" t="s">
        <v>196</v>
      </c>
      <c r="B83" s="137"/>
      <c r="C83" s="122"/>
      <c r="D83" s="161">
        <f t="shared" si="8"/>
        <v>0</v>
      </c>
      <c r="E83" s="123"/>
      <c r="F83" s="123"/>
      <c r="G83" s="124"/>
      <c r="H83" s="162">
        <f t="shared" si="14"/>
        <v>0</v>
      </c>
      <c r="I83" s="123"/>
      <c r="J83" s="123"/>
      <c r="K83" s="125"/>
      <c r="L83" s="161">
        <f t="shared" si="9"/>
        <v>0</v>
      </c>
      <c r="M83" s="123"/>
      <c r="N83" s="123"/>
      <c r="O83" s="124"/>
      <c r="P83" s="162">
        <f t="shared" si="10"/>
        <v>0</v>
      </c>
      <c r="Q83" s="123"/>
      <c r="R83" s="123"/>
      <c r="S83" s="125"/>
      <c r="T83" s="113">
        <f t="shared" si="11"/>
        <v>0</v>
      </c>
      <c r="U83" s="126"/>
      <c r="V83" s="127"/>
      <c r="W83" s="117">
        <f t="shared" si="13"/>
        <v>0</v>
      </c>
      <c r="X83" s="118" t="e">
        <f t="shared" si="12"/>
        <v>#DIV/0!</v>
      </c>
      <c r="Y83" s="128"/>
    </row>
    <row r="84" spans="1:25" ht="20" customHeight="1" x14ac:dyDescent="0.25">
      <c r="A84" s="120" t="s">
        <v>197</v>
      </c>
      <c r="B84" s="137"/>
      <c r="C84" s="122"/>
      <c r="D84" s="161">
        <f t="shared" si="8"/>
        <v>0</v>
      </c>
      <c r="E84" s="123"/>
      <c r="F84" s="123"/>
      <c r="G84" s="124"/>
      <c r="H84" s="155">
        <f t="shared" si="14"/>
        <v>0</v>
      </c>
      <c r="I84" s="123"/>
      <c r="J84" s="123"/>
      <c r="K84" s="125"/>
      <c r="L84" s="161">
        <f t="shared" si="9"/>
        <v>0</v>
      </c>
      <c r="M84" s="123"/>
      <c r="N84" s="123"/>
      <c r="O84" s="124"/>
      <c r="P84" s="162">
        <f t="shared" si="10"/>
        <v>0</v>
      </c>
      <c r="Q84" s="123"/>
      <c r="R84" s="123"/>
      <c r="S84" s="125"/>
      <c r="T84" s="113">
        <f t="shared" si="11"/>
        <v>0</v>
      </c>
      <c r="U84" s="126"/>
      <c r="V84" s="127"/>
      <c r="W84" s="117">
        <f t="shared" si="13"/>
        <v>0</v>
      </c>
      <c r="X84" s="118" t="e">
        <f t="shared" si="12"/>
        <v>#DIV/0!</v>
      </c>
      <c r="Y84" s="128"/>
    </row>
    <row r="85" spans="1:25" ht="20" customHeight="1" x14ac:dyDescent="0.25">
      <c r="A85" s="120" t="s">
        <v>198</v>
      </c>
      <c r="B85" s="137"/>
      <c r="C85" s="122"/>
      <c r="D85" s="161">
        <f t="shared" si="8"/>
        <v>0</v>
      </c>
      <c r="E85" s="123"/>
      <c r="F85" s="123"/>
      <c r="G85" s="124"/>
      <c r="H85" s="155">
        <f t="shared" si="14"/>
        <v>0</v>
      </c>
      <c r="I85" s="123"/>
      <c r="J85" s="123"/>
      <c r="K85" s="125"/>
      <c r="L85" s="161">
        <f t="shared" si="9"/>
        <v>0</v>
      </c>
      <c r="M85" s="123"/>
      <c r="N85" s="123"/>
      <c r="O85" s="124"/>
      <c r="P85" s="162">
        <f t="shared" si="10"/>
        <v>0</v>
      </c>
      <c r="Q85" s="123"/>
      <c r="R85" s="123"/>
      <c r="S85" s="125"/>
      <c r="T85" s="113">
        <f t="shared" si="11"/>
        <v>0</v>
      </c>
      <c r="U85" s="126"/>
      <c r="V85" s="127"/>
      <c r="W85" s="117">
        <f t="shared" si="13"/>
        <v>0</v>
      </c>
      <c r="X85" s="118" t="e">
        <f t="shared" si="12"/>
        <v>#DIV/0!</v>
      </c>
      <c r="Y85" s="128"/>
    </row>
    <row r="86" spans="1:25" ht="20" customHeight="1" x14ac:dyDescent="0.25">
      <c r="A86" s="120" t="s">
        <v>199</v>
      </c>
      <c r="B86" s="121"/>
      <c r="C86" s="122"/>
      <c r="D86" s="161">
        <f t="shared" si="8"/>
        <v>0</v>
      </c>
      <c r="E86" s="123"/>
      <c r="F86" s="123"/>
      <c r="G86" s="124"/>
      <c r="H86" s="155">
        <f t="shared" si="14"/>
        <v>0</v>
      </c>
      <c r="I86" s="123"/>
      <c r="J86" s="123"/>
      <c r="K86" s="125"/>
      <c r="L86" s="161">
        <f t="shared" si="9"/>
        <v>0</v>
      </c>
      <c r="M86" s="123"/>
      <c r="N86" s="123"/>
      <c r="O86" s="124"/>
      <c r="P86" s="162">
        <f t="shared" si="10"/>
        <v>0</v>
      </c>
      <c r="Q86" s="123"/>
      <c r="R86" s="123"/>
      <c r="S86" s="125"/>
      <c r="T86" s="113">
        <f t="shared" si="11"/>
        <v>0</v>
      </c>
      <c r="U86" s="126"/>
      <c r="V86" s="127"/>
      <c r="W86" s="117">
        <f t="shared" si="13"/>
        <v>0</v>
      </c>
      <c r="X86" s="118" t="e">
        <f t="shared" si="12"/>
        <v>#DIV/0!</v>
      </c>
      <c r="Y86" s="128"/>
    </row>
    <row r="87" spans="1:25" ht="20" customHeight="1" x14ac:dyDescent="0.25">
      <c r="A87" s="120" t="s">
        <v>200</v>
      </c>
      <c r="B87" s="137"/>
      <c r="C87" s="122"/>
      <c r="D87" s="161">
        <f t="shared" si="8"/>
        <v>0</v>
      </c>
      <c r="E87" s="123"/>
      <c r="F87" s="123"/>
      <c r="G87" s="124"/>
      <c r="H87" s="162">
        <f t="shared" si="14"/>
        <v>0</v>
      </c>
      <c r="I87" s="123"/>
      <c r="J87" s="123"/>
      <c r="K87" s="125"/>
      <c r="L87" s="161">
        <f t="shared" si="9"/>
        <v>0</v>
      </c>
      <c r="M87" s="123"/>
      <c r="N87" s="123"/>
      <c r="O87" s="124"/>
      <c r="P87" s="162">
        <f t="shared" si="10"/>
        <v>0</v>
      </c>
      <c r="Q87" s="123"/>
      <c r="R87" s="123"/>
      <c r="S87" s="125"/>
      <c r="T87" s="113">
        <f t="shared" si="11"/>
        <v>0</v>
      </c>
      <c r="U87" s="126"/>
      <c r="V87" s="127"/>
      <c r="W87" s="117">
        <f t="shared" si="13"/>
        <v>0</v>
      </c>
      <c r="X87" s="118" t="e">
        <f t="shared" si="12"/>
        <v>#DIV/0!</v>
      </c>
      <c r="Y87" s="128"/>
    </row>
    <row r="88" spans="1:25" ht="20" customHeight="1" x14ac:dyDescent="0.25">
      <c r="A88" s="120" t="s">
        <v>201</v>
      </c>
      <c r="B88" s="121"/>
      <c r="C88" s="122"/>
      <c r="D88" s="161">
        <f t="shared" si="8"/>
        <v>0</v>
      </c>
      <c r="E88" s="123"/>
      <c r="F88" s="123"/>
      <c r="G88" s="124"/>
      <c r="H88" s="155">
        <f t="shared" si="14"/>
        <v>0</v>
      </c>
      <c r="I88" s="123"/>
      <c r="J88" s="123"/>
      <c r="K88" s="125"/>
      <c r="L88" s="161">
        <f t="shared" si="9"/>
        <v>0</v>
      </c>
      <c r="M88" s="123"/>
      <c r="N88" s="123"/>
      <c r="O88" s="124"/>
      <c r="P88" s="162">
        <f t="shared" si="10"/>
        <v>0</v>
      </c>
      <c r="Q88" s="123"/>
      <c r="R88" s="123"/>
      <c r="S88" s="125"/>
      <c r="T88" s="113">
        <f t="shared" si="11"/>
        <v>0</v>
      </c>
      <c r="U88" s="126"/>
      <c r="V88" s="127"/>
      <c r="W88" s="117">
        <f t="shared" si="13"/>
        <v>0</v>
      </c>
      <c r="X88" s="118" t="e">
        <f t="shared" si="12"/>
        <v>#DIV/0!</v>
      </c>
      <c r="Y88" s="128"/>
    </row>
    <row r="89" spans="1:25" ht="20" customHeight="1" x14ac:dyDescent="0.25">
      <c r="A89" s="120" t="s">
        <v>202</v>
      </c>
      <c r="B89" s="138"/>
      <c r="C89" s="122"/>
      <c r="D89" s="161">
        <f t="shared" si="8"/>
        <v>0</v>
      </c>
      <c r="E89" s="123"/>
      <c r="F89" s="123"/>
      <c r="G89" s="124"/>
      <c r="H89" s="155">
        <f t="shared" si="14"/>
        <v>0</v>
      </c>
      <c r="I89" s="123"/>
      <c r="J89" s="123"/>
      <c r="K89" s="125"/>
      <c r="L89" s="161">
        <f t="shared" si="9"/>
        <v>0</v>
      </c>
      <c r="M89" s="123"/>
      <c r="N89" s="123"/>
      <c r="O89" s="124"/>
      <c r="P89" s="162">
        <f t="shared" si="10"/>
        <v>0</v>
      </c>
      <c r="Q89" s="123"/>
      <c r="R89" s="123"/>
      <c r="S89" s="125"/>
      <c r="T89" s="113">
        <f t="shared" si="11"/>
        <v>0</v>
      </c>
      <c r="U89" s="126"/>
      <c r="V89" s="127"/>
      <c r="W89" s="117">
        <f t="shared" si="13"/>
        <v>0</v>
      </c>
      <c r="X89" s="118" t="e">
        <f t="shared" si="12"/>
        <v>#DIV/0!</v>
      </c>
      <c r="Y89" s="128"/>
    </row>
    <row r="90" spans="1:25" ht="20" customHeight="1" x14ac:dyDescent="0.25">
      <c r="A90" s="120" t="s">
        <v>203</v>
      </c>
      <c r="B90" s="164"/>
      <c r="C90" s="122"/>
      <c r="D90" s="161">
        <f t="shared" si="8"/>
        <v>0</v>
      </c>
      <c r="E90" s="123"/>
      <c r="F90" s="123"/>
      <c r="G90" s="124"/>
      <c r="H90" s="162">
        <f t="shared" si="14"/>
        <v>0</v>
      </c>
      <c r="I90" s="123"/>
      <c r="J90" s="123"/>
      <c r="K90" s="125"/>
      <c r="L90" s="161">
        <f t="shared" si="9"/>
        <v>0</v>
      </c>
      <c r="M90" s="123"/>
      <c r="N90" s="123"/>
      <c r="O90" s="124"/>
      <c r="P90" s="162">
        <f t="shared" si="10"/>
        <v>0</v>
      </c>
      <c r="Q90" s="123"/>
      <c r="R90" s="123"/>
      <c r="S90" s="125"/>
      <c r="T90" s="113">
        <f t="shared" si="11"/>
        <v>0</v>
      </c>
      <c r="U90" s="126"/>
      <c r="V90" s="136"/>
      <c r="W90" s="117">
        <f t="shared" si="13"/>
        <v>0</v>
      </c>
      <c r="X90" s="118" t="e">
        <f t="shared" si="12"/>
        <v>#DIV/0!</v>
      </c>
      <c r="Y90" s="128"/>
    </row>
    <row r="91" spans="1:25" ht="20" customHeight="1" x14ac:dyDescent="0.25">
      <c r="A91" s="120" t="s">
        <v>137</v>
      </c>
      <c r="B91" s="138"/>
      <c r="C91" s="165"/>
      <c r="D91" s="161">
        <f t="shared" si="8"/>
        <v>0</v>
      </c>
      <c r="E91" s="123"/>
      <c r="F91" s="123"/>
      <c r="G91" s="124"/>
      <c r="H91" s="162">
        <f t="shared" si="14"/>
        <v>0</v>
      </c>
      <c r="I91" s="123"/>
      <c r="J91" s="123"/>
      <c r="K91" s="125"/>
      <c r="L91" s="161">
        <f t="shared" si="9"/>
        <v>0</v>
      </c>
      <c r="M91" s="123"/>
      <c r="N91" s="123"/>
      <c r="O91" s="124"/>
      <c r="P91" s="162">
        <f t="shared" si="10"/>
        <v>0</v>
      </c>
      <c r="Q91" s="123"/>
      <c r="R91" s="123"/>
      <c r="S91" s="125"/>
      <c r="T91" s="113">
        <f t="shared" si="11"/>
        <v>0</v>
      </c>
      <c r="U91" s="126"/>
      <c r="V91" s="127"/>
      <c r="W91" s="117">
        <f t="shared" si="13"/>
        <v>0</v>
      </c>
      <c r="X91" s="118" t="e">
        <f t="shared" si="12"/>
        <v>#DIV/0!</v>
      </c>
      <c r="Y91" s="128"/>
    </row>
    <row r="92" spans="1:25" ht="20" customHeight="1" x14ac:dyDescent="0.25">
      <c r="A92" s="166" t="s">
        <v>109</v>
      </c>
      <c r="B92" s="167"/>
      <c r="C92" s="168">
        <f>SUM(C4:C91)</f>
        <v>0</v>
      </c>
      <c r="D92" s="169">
        <f>SUM(D4:D91)</f>
        <v>0</v>
      </c>
      <c r="E92" s="170">
        <f>SUM(E4:E91)</f>
        <v>0</v>
      </c>
      <c r="F92" s="170">
        <f>SUM(F4:F91)</f>
        <v>0</v>
      </c>
      <c r="G92" s="171">
        <f>SUM(G4:G91)</f>
        <v>0</v>
      </c>
      <c r="H92" s="172">
        <f t="shared" ref="H92:V92" si="15">SUM(H4:H91)</f>
        <v>0</v>
      </c>
      <c r="I92" s="170">
        <f t="shared" si="15"/>
        <v>0</v>
      </c>
      <c r="J92" s="170">
        <f t="shared" si="15"/>
        <v>0</v>
      </c>
      <c r="K92" s="170">
        <f t="shared" si="15"/>
        <v>0</v>
      </c>
      <c r="L92" s="170">
        <f t="shared" si="15"/>
        <v>0</v>
      </c>
      <c r="M92" s="170">
        <f t="shared" si="15"/>
        <v>0</v>
      </c>
      <c r="N92" s="170">
        <f t="shared" si="15"/>
        <v>0</v>
      </c>
      <c r="O92" s="170">
        <f t="shared" si="15"/>
        <v>0</v>
      </c>
      <c r="P92" s="170">
        <f t="shared" si="15"/>
        <v>0</v>
      </c>
      <c r="Q92" s="170">
        <f t="shared" si="15"/>
        <v>0</v>
      </c>
      <c r="R92" s="170">
        <f t="shared" si="15"/>
        <v>0</v>
      </c>
      <c r="S92" s="170">
        <f t="shared" si="15"/>
        <v>0</v>
      </c>
      <c r="T92" s="170">
        <f t="shared" si="11"/>
        <v>0</v>
      </c>
      <c r="U92" s="170">
        <f t="shared" si="15"/>
        <v>0</v>
      </c>
      <c r="V92" s="170">
        <f t="shared" si="15"/>
        <v>0</v>
      </c>
      <c r="W92" s="173">
        <f t="shared" si="13"/>
        <v>0</v>
      </c>
      <c r="X92" s="174" t="e">
        <f t="shared" si="12"/>
        <v>#DIV/0!</v>
      </c>
      <c r="Y92" s="175"/>
    </row>
    <row r="93" spans="1:25" ht="20" customHeight="1" x14ac:dyDescent="0.25">
      <c r="A93" s="176" t="s">
        <v>204</v>
      </c>
      <c r="B93" s="177"/>
      <c r="C93" s="115"/>
      <c r="D93" s="178"/>
      <c r="E93" s="179"/>
      <c r="F93" s="179"/>
      <c r="G93" s="180"/>
      <c r="H93" s="181"/>
      <c r="I93" s="179"/>
      <c r="J93" s="179"/>
      <c r="K93" s="179"/>
      <c r="L93" s="182"/>
      <c r="M93" s="179"/>
      <c r="N93" s="179"/>
      <c r="O93" s="179"/>
      <c r="P93" s="182"/>
      <c r="Q93" s="179"/>
      <c r="R93" s="179"/>
      <c r="S93" s="179"/>
      <c r="T93" s="182"/>
      <c r="U93" s="183"/>
      <c r="V93" s="184"/>
      <c r="W93" s="185">
        <f t="shared" si="13"/>
        <v>0</v>
      </c>
      <c r="X93" s="186" t="e">
        <f t="shared" si="12"/>
        <v>#DIV/0!</v>
      </c>
      <c r="Y93" s="187"/>
    </row>
    <row r="94" spans="1:25" ht="20" customHeight="1" thickBot="1" x14ac:dyDescent="0.3">
      <c r="A94" s="188" t="s">
        <v>205</v>
      </c>
      <c r="B94" s="189"/>
      <c r="C94" s="190">
        <f>SUM(C92:C93)</f>
        <v>0</v>
      </c>
      <c r="D94" s="191">
        <f>SUM(D92:D93)</f>
        <v>0</v>
      </c>
      <c r="E94" s="192">
        <f>SUM(E92:E93)</f>
        <v>0</v>
      </c>
      <c r="F94" s="192">
        <f>SUM(F92:F93)</f>
        <v>0</v>
      </c>
      <c r="G94" s="193">
        <f>SUM(G92:G93)</f>
        <v>0</v>
      </c>
      <c r="H94" s="194">
        <f t="shared" ref="H94:V94" si="16">SUM(H92:H93)</f>
        <v>0</v>
      </c>
      <c r="I94" s="192">
        <f t="shared" si="16"/>
        <v>0</v>
      </c>
      <c r="J94" s="192">
        <f t="shared" si="16"/>
        <v>0</v>
      </c>
      <c r="K94" s="192">
        <f t="shared" si="16"/>
        <v>0</v>
      </c>
      <c r="L94" s="192">
        <f t="shared" si="16"/>
        <v>0</v>
      </c>
      <c r="M94" s="192">
        <f t="shared" si="16"/>
        <v>0</v>
      </c>
      <c r="N94" s="192">
        <f t="shared" si="16"/>
        <v>0</v>
      </c>
      <c r="O94" s="192">
        <f t="shared" si="16"/>
        <v>0</v>
      </c>
      <c r="P94" s="192">
        <f t="shared" si="16"/>
        <v>0</v>
      </c>
      <c r="Q94" s="192">
        <f t="shared" si="16"/>
        <v>0</v>
      </c>
      <c r="R94" s="192">
        <f t="shared" si="16"/>
        <v>0</v>
      </c>
      <c r="S94" s="192">
        <f t="shared" si="16"/>
        <v>0</v>
      </c>
      <c r="T94" s="192">
        <f t="shared" si="16"/>
        <v>0</v>
      </c>
      <c r="U94" s="192">
        <f t="shared" si="16"/>
        <v>0</v>
      </c>
      <c r="V94" s="192">
        <f t="shared" si="16"/>
        <v>0</v>
      </c>
      <c r="W94" s="195">
        <f t="shared" si="13"/>
        <v>0</v>
      </c>
      <c r="X94" s="196" t="e">
        <f t="shared" si="12"/>
        <v>#DIV/0!</v>
      </c>
      <c r="Y94" s="197"/>
    </row>
    <row r="95" spans="1:25" ht="14.5" x14ac:dyDescent="0.4">
      <c r="A95" s="198" t="s">
        <v>206</v>
      </c>
      <c r="B95" s="199"/>
      <c r="C95" s="200"/>
      <c r="D95" s="200"/>
      <c r="E95" s="201"/>
      <c r="F95" s="201"/>
      <c r="G95" s="201"/>
      <c r="H95" s="201"/>
      <c r="I95" s="201"/>
      <c r="J95" s="201"/>
      <c r="K95" s="201"/>
      <c r="L95" s="201"/>
      <c r="M95" s="201"/>
      <c r="N95" s="201"/>
      <c r="O95" s="201"/>
      <c r="P95" s="201"/>
      <c r="Q95" s="201"/>
      <c r="R95" s="201"/>
      <c r="S95" s="201"/>
      <c r="T95" s="201"/>
      <c r="U95" s="201"/>
      <c r="V95" s="201"/>
      <c r="W95" s="201"/>
      <c r="X95" s="476"/>
      <c r="Y95" s="476"/>
    </row>
    <row r="96" spans="1:25" ht="14.5" x14ac:dyDescent="0.25">
      <c r="A96" s="202" t="s">
        <v>207</v>
      </c>
      <c r="B96" s="202"/>
      <c r="C96" s="202"/>
      <c r="D96" s="202"/>
      <c r="E96" s="202"/>
      <c r="F96" s="202"/>
      <c r="G96" s="202"/>
      <c r="H96" s="202"/>
      <c r="I96" s="202"/>
      <c r="J96" s="202"/>
      <c r="K96" s="202"/>
      <c r="L96" s="202"/>
      <c r="M96" s="202"/>
      <c r="N96" s="202"/>
      <c r="O96" s="202"/>
      <c r="P96" s="202"/>
      <c r="Q96" s="202"/>
      <c r="R96" s="202"/>
      <c r="S96" s="202"/>
      <c r="T96" s="202"/>
      <c r="U96" s="202"/>
      <c r="V96" s="202"/>
      <c r="W96" s="202"/>
      <c r="X96" s="203"/>
      <c r="Y96" s="204"/>
    </row>
    <row r="97" spans="1:25" ht="14.5" x14ac:dyDescent="0.25">
      <c r="A97" s="199" t="s">
        <v>208</v>
      </c>
      <c r="B97" s="199"/>
      <c r="C97" s="200"/>
      <c r="D97" s="200"/>
      <c r="E97" s="199"/>
      <c r="F97" s="199"/>
      <c r="G97" s="199"/>
      <c r="H97" s="199"/>
      <c r="I97" s="199"/>
      <c r="J97" s="199"/>
      <c r="K97" s="199"/>
      <c r="L97" s="199"/>
      <c r="M97" s="199"/>
      <c r="N97" s="199"/>
      <c r="O97" s="199"/>
      <c r="P97" s="199"/>
      <c r="Q97" s="199"/>
      <c r="R97" s="199"/>
      <c r="S97" s="199"/>
      <c r="T97" s="199"/>
      <c r="U97" s="199"/>
      <c r="V97" s="199"/>
      <c r="W97" s="199"/>
      <c r="X97" s="204"/>
      <c r="Y97" s="204"/>
    </row>
    <row r="98" spans="1:25" ht="14.5" x14ac:dyDescent="0.4">
      <c r="A98" s="199" t="s">
        <v>209</v>
      </c>
      <c r="B98" s="200"/>
      <c r="C98" s="200"/>
      <c r="D98" s="199"/>
      <c r="E98" s="199"/>
      <c r="F98" s="199"/>
      <c r="G98" s="199"/>
      <c r="H98" s="199"/>
      <c r="I98" s="199"/>
      <c r="J98" s="199"/>
      <c r="K98" s="199"/>
      <c r="L98" s="199"/>
      <c r="M98" s="199"/>
      <c r="N98" s="199"/>
      <c r="O98" s="199"/>
      <c r="P98" s="199"/>
      <c r="Q98" s="199"/>
      <c r="R98" s="199"/>
      <c r="S98" s="199"/>
      <c r="T98" s="199"/>
      <c r="U98" s="199"/>
      <c r="V98" s="199"/>
      <c r="W98" s="204"/>
      <c r="X98" s="204"/>
      <c r="Y98" s="205"/>
    </row>
  </sheetData>
  <mergeCells count="2">
    <mergeCell ref="A1:Y1"/>
    <mergeCell ref="X95:Y95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67"/>
  <sheetViews>
    <sheetView showGridLines="0" workbookViewId="0">
      <selection activeCell="E13" sqref="E13"/>
    </sheetView>
  </sheetViews>
  <sheetFormatPr defaultColWidth="9.453125" defaultRowHeight="14" x14ac:dyDescent="0.25"/>
  <cols>
    <col min="1" max="1" width="33.453125" style="206" customWidth="1"/>
    <col min="2" max="2" width="9.453125" style="292"/>
    <col min="3" max="5" width="9.453125" style="206"/>
    <col min="6" max="17" width="9.453125" style="292"/>
    <col min="18" max="20" width="9.453125" style="206"/>
    <col min="21" max="22" width="11.1796875" style="206" customWidth="1"/>
    <col min="23" max="16384" width="9.453125" style="206"/>
  </cols>
  <sheetData>
    <row r="1" spans="1:22" ht="29" customHeight="1" x14ac:dyDescent="0.25">
      <c r="A1" s="461" t="s">
        <v>210</v>
      </c>
      <c r="B1" s="461"/>
      <c r="C1" s="461"/>
      <c r="D1" s="461"/>
      <c r="E1" s="461"/>
      <c r="F1" s="461"/>
      <c r="G1" s="461"/>
      <c r="H1" s="461"/>
      <c r="I1" s="461"/>
      <c r="J1" s="461"/>
      <c r="K1" s="461"/>
      <c r="L1" s="461"/>
      <c r="M1" s="461"/>
      <c r="N1" s="461"/>
      <c r="O1" s="461"/>
      <c r="P1" s="461"/>
      <c r="Q1" s="461"/>
      <c r="R1" s="461"/>
      <c r="S1" s="461"/>
      <c r="T1" s="461"/>
      <c r="U1" s="461"/>
      <c r="V1" s="461"/>
    </row>
    <row r="2" spans="1:22" s="44" customFormat="1" ht="23" customHeight="1" thickBot="1" x14ac:dyDescent="0.3">
      <c r="A2" s="44" t="s">
        <v>1</v>
      </c>
      <c r="B2" s="207"/>
      <c r="F2" s="207"/>
      <c r="G2" s="207"/>
      <c r="H2" s="207"/>
      <c r="I2" s="207"/>
      <c r="J2" s="207" t="s">
        <v>2</v>
      </c>
      <c r="K2" s="207"/>
      <c r="L2" s="207"/>
      <c r="M2" s="207"/>
      <c r="N2" s="207"/>
      <c r="O2" s="207"/>
      <c r="P2" s="207"/>
      <c r="Q2" s="207"/>
      <c r="R2" s="44" t="s">
        <v>3</v>
      </c>
    </row>
    <row r="3" spans="1:22" s="205" customFormat="1" ht="22" customHeight="1" x14ac:dyDescent="0.4">
      <c r="A3" s="479" t="s">
        <v>114</v>
      </c>
      <c r="B3" s="481" t="s">
        <v>211</v>
      </c>
      <c r="C3" s="481"/>
      <c r="D3" s="481"/>
      <c r="E3" s="481"/>
      <c r="F3" s="481"/>
      <c r="G3" s="481"/>
      <c r="H3" s="481"/>
      <c r="I3" s="481"/>
      <c r="J3" s="481"/>
      <c r="K3" s="481"/>
      <c r="L3" s="481"/>
      <c r="M3" s="481"/>
      <c r="N3" s="481"/>
      <c r="O3" s="481"/>
      <c r="P3" s="481"/>
      <c r="Q3" s="481"/>
      <c r="R3" s="482" t="s">
        <v>117</v>
      </c>
      <c r="S3" s="484" t="s">
        <v>119</v>
      </c>
      <c r="T3" s="484" t="s">
        <v>120</v>
      </c>
      <c r="U3" s="486" t="s">
        <v>121</v>
      </c>
      <c r="V3" s="488" t="s">
        <v>81</v>
      </c>
    </row>
    <row r="4" spans="1:22" s="205" customFormat="1" ht="22" customHeight="1" thickBot="1" x14ac:dyDescent="0.45">
      <c r="A4" s="480"/>
      <c r="B4" s="208" t="s">
        <v>212</v>
      </c>
      <c r="C4" s="209" t="s">
        <v>83</v>
      </c>
      <c r="D4" s="209" t="s">
        <v>84</v>
      </c>
      <c r="E4" s="210" t="s">
        <v>85</v>
      </c>
      <c r="F4" s="208" t="s">
        <v>213</v>
      </c>
      <c r="G4" s="209" t="s">
        <v>87</v>
      </c>
      <c r="H4" s="209" t="s">
        <v>88</v>
      </c>
      <c r="I4" s="211" t="s">
        <v>89</v>
      </c>
      <c r="J4" s="212" t="s">
        <v>214</v>
      </c>
      <c r="K4" s="209" t="s">
        <v>91</v>
      </c>
      <c r="L4" s="209" t="s">
        <v>92</v>
      </c>
      <c r="M4" s="210" t="s">
        <v>93</v>
      </c>
      <c r="N4" s="208" t="s">
        <v>215</v>
      </c>
      <c r="O4" s="209" t="s">
        <v>95</v>
      </c>
      <c r="P4" s="209" t="s">
        <v>96</v>
      </c>
      <c r="Q4" s="211" t="s">
        <v>97</v>
      </c>
      <c r="R4" s="483"/>
      <c r="S4" s="485"/>
      <c r="T4" s="485"/>
      <c r="U4" s="487"/>
      <c r="V4" s="489"/>
    </row>
    <row r="5" spans="1:22" s="205" customFormat="1" ht="22" customHeight="1" thickTop="1" x14ac:dyDescent="0.4">
      <c r="A5" s="213" t="s">
        <v>122</v>
      </c>
      <c r="B5" s="214"/>
      <c r="C5" s="215"/>
      <c r="D5" s="215"/>
      <c r="E5" s="216"/>
      <c r="F5" s="214"/>
      <c r="G5" s="217"/>
      <c r="H5" s="217"/>
      <c r="I5" s="218"/>
      <c r="J5" s="219"/>
      <c r="K5" s="217"/>
      <c r="L5" s="217"/>
      <c r="M5" s="220"/>
      <c r="N5" s="214"/>
      <c r="O5" s="217"/>
      <c r="P5" s="217"/>
      <c r="Q5" s="218"/>
      <c r="R5" s="219"/>
      <c r="S5" s="217"/>
      <c r="T5" s="217"/>
      <c r="U5" s="221"/>
      <c r="V5" s="222"/>
    </row>
    <row r="6" spans="1:22" ht="22" customHeight="1" x14ac:dyDescent="0.25">
      <c r="A6" s="223" t="s">
        <v>216</v>
      </c>
      <c r="B6" s="214">
        <f>SUM(C6:E6)</f>
        <v>0</v>
      </c>
      <c r="C6" s="224"/>
      <c r="D6" s="224"/>
      <c r="E6" s="225"/>
      <c r="F6" s="226">
        <f>SUM(G6:I6)</f>
        <v>0</v>
      </c>
      <c r="G6" s="224"/>
      <c r="H6" s="224"/>
      <c r="I6" s="227"/>
      <c r="J6" s="228">
        <f>SUM(K6:M6)</f>
        <v>0</v>
      </c>
      <c r="K6" s="224"/>
      <c r="L6" s="224"/>
      <c r="M6" s="225"/>
      <c r="N6" s="226">
        <f>SUM(O6:Q6)</f>
        <v>0</v>
      </c>
      <c r="O6" s="224"/>
      <c r="P6" s="224"/>
      <c r="Q6" s="227"/>
      <c r="R6" s="229">
        <f>B6+F6+J6+N6</f>
        <v>0</v>
      </c>
      <c r="S6" s="224"/>
      <c r="T6" s="224">
        <f>R6-S6</f>
        <v>0</v>
      </c>
      <c r="U6" s="230" t="e">
        <f>T6/R6</f>
        <v>#DIV/0!</v>
      </c>
      <c r="V6" s="231"/>
    </row>
    <row r="7" spans="1:22" ht="22" customHeight="1" x14ac:dyDescent="0.25">
      <c r="A7" s="223" t="s">
        <v>217</v>
      </c>
      <c r="B7" s="214">
        <f t="shared" ref="B7:B37" si="0">SUM(C7:E7)</f>
        <v>0</v>
      </c>
      <c r="C7" s="224"/>
      <c r="D7" s="224"/>
      <c r="E7" s="225"/>
      <c r="F7" s="226">
        <f t="shared" ref="F7:F56" si="1">SUM(G7:I7)</f>
        <v>0</v>
      </c>
      <c r="G7" s="224"/>
      <c r="H7" s="224"/>
      <c r="I7" s="227"/>
      <c r="J7" s="228">
        <f t="shared" ref="J7:J56" si="2">SUM(K7:M7)</f>
        <v>0</v>
      </c>
      <c r="K7" s="224"/>
      <c r="L7" s="224"/>
      <c r="M7" s="225"/>
      <c r="N7" s="226">
        <f t="shared" ref="N7:N56" si="3">SUM(O7:Q7)</f>
        <v>0</v>
      </c>
      <c r="O7" s="224"/>
      <c r="P7" s="224"/>
      <c r="Q7" s="227"/>
      <c r="R7" s="229">
        <f t="shared" ref="R7:R55" si="4">B7+F7+J7+N7</f>
        <v>0</v>
      </c>
      <c r="S7" s="224"/>
      <c r="T7" s="224">
        <f t="shared" ref="T7:T55" si="5">R7-S7</f>
        <v>0</v>
      </c>
      <c r="U7" s="230" t="e">
        <f t="shared" ref="U7:U62" si="6">T7/R7</f>
        <v>#DIV/0!</v>
      </c>
      <c r="V7" s="231"/>
    </row>
    <row r="8" spans="1:22" ht="22" customHeight="1" x14ac:dyDescent="0.25">
      <c r="A8" s="223" t="s">
        <v>218</v>
      </c>
      <c r="B8" s="214">
        <f t="shared" si="0"/>
        <v>0</v>
      </c>
      <c r="C8" s="224"/>
      <c r="D8" s="224"/>
      <c r="E8" s="225"/>
      <c r="F8" s="226">
        <f t="shared" si="1"/>
        <v>0</v>
      </c>
      <c r="G8" s="224"/>
      <c r="H8" s="224"/>
      <c r="I8" s="227"/>
      <c r="J8" s="228">
        <f t="shared" si="2"/>
        <v>0</v>
      </c>
      <c r="K8" s="224"/>
      <c r="L8" s="224"/>
      <c r="M8" s="225"/>
      <c r="N8" s="226">
        <f t="shared" si="3"/>
        <v>0</v>
      </c>
      <c r="O8" s="224"/>
      <c r="P8" s="224"/>
      <c r="Q8" s="227"/>
      <c r="R8" s="229">
        <f t="shared" si="4"/>
        <v>0</v>
      </c>
      <c r="S8" s="224"/>
      <c r="T8" s="224">
        <f t="shared" si="5"/>
        <v>0</v>
      </c>
      <c r="U8" s="230" t="e">
        <f t="shared" si="6"/>
        <v>#DIV/0!</v>
      </c>
      <c r="V8" s="231"/>
    </row>
    <row r="9" spans="1:22" ht="22" customHeight="1" x14ac:dyDescent="0.25">
      <c r="A9" s="223" t="s">
        <v>219</v>
      </c>
      <c r="B9" s="214">
        <f t="shared" si="0"/>
        <v>0</v>
      </c>
      <c r="C9" s="224"/>
      <c r="D9" s="224"/>
      <c r="E9" s="225"/>
      <c r="F9" s="226">
        <f t="shared" si="1"/>
        <v>0</v>
      </c>
      <c r="G9" s="224"/>
      <c r="H9" s="224"/>
      <c r="I9" s="227"/>
      <c r="J9" s="228">
        <f t="shared" si="2"/>
        <v>0</v>
      </c>
      <c r="K9" s="224"/>
      <c r="L9" s="224"/>
      <c r="M9" s="225"/>
      <c r="N9" s="226">
        <f t="shared" si="3"/>
        <v>0</v>
      </c>
      <c r="O9" s="224"/>
      <c r="P9" s="224"/>
      <c r="Q9" s="227"/>
      <c r="R9" s="229">
        <f t="shared" si="4"/>
        <v>0</v>
      </c>
      <c r="S9" s="224"/>
      <c r="T9" s="224">
        <f t="shared" si="5"/>
        <v>0</v>
      </c>
      <c r="U9" s="230" t="e">
        <f t="shared" si="6"/>
        <v>#DIV/0!</v>
      </c>
      <c r="V9" s="231"/>
    </row>
    <row r="10" spans="1:22" ht="22" customHeight="1" x14ac:dyDescent="0.25">
      <c r="A10" s="223" t="s">
        <v>220</v>
      </c>
      <c r="B10" s="214">
        <f t="shared" si="0"/>
        <v>0</v>
      </c>
      <c r="C10" s="224"/>
      <c r="D10" s="224"/>
      <c r="E10" s="225"/>
      <c r="F10" s="226">
        <f t="shared" si="1"/>
        <v>0</v>
      </c>
      <c r="G10" s="224"/>
      <c r="H10" s="224"/>
      <c r="I10" s="227"/>
      <c r="J10" s="228">
        <f t="shared" si="2"/>
        <v>0</v>
      </c>
      <c r="K10" s="224"/>
      <c r="L10" s="224"/>
      <c r="M10" s="225"/>
      <c r="N10" s="226">
        <f t="shared" si="3"/>
        <v>0</v>
      </c>
      <c r="O10" s="224"/>
      <c r="P10" s="224"/>
      <c r="Q10" s="227"/>
      <c r="R10" s="229">
        <f t="shared" si="4"/>
        <v>0</v>
      </c>
      <c r="S10" s="224"/>
      <c r="T10" s="224">
        <f t="shared" si="5"/>
        <v>0</v>
      </c>
      <c r="U10" s="230" t="e">
        <f t="shared" si="6"/>
        <v>#DIV/0!</v>
      </c>
      <c r="V10" s="231"/>
    </row>
    <row r="11" spans="1:22" ht="22" customHeight="1" x14ac:dyDescent="0.25">
      <c r="A11" s="223" t="s">
        <v>221</v>
      </c>
      <c r="B11" s="214">
        <f t="shared" si="0"/>
        <v>0</v>
      </c>
      <c r="C11" s="224"/>
      <c r="D11" s="224"/>
      <c r="E11" s="225"/>
      <c r="F11" s="226">
        <f t="shared" si="1"/>
        <v>0</v>
      </c>
      <c r="G11" s="224"/>
      <c r="H11" s="224"/>
      <c r="I11" s="227"/>
      <c r="J11" s="228">
        <f t="shared" si="2"/>
        <v>0</v>
      </c>
      <c r="K11" s="224"/>
      <c r="L11" s="224"/>
      <c r="M11" s="225"/>
      <c r="N11" s="226">
        <f t="shared" si="3"/>
        <v>0</v>
      </c>
      <c r="O11" s="224"/>
      <c r="P11" s="224"/>
      <c r="Q11" s="227"/>
      <c r="R11" s="229">
        <f t="shared" si="4"/>
        <v>0</v>
      </c>
      <c r="S11" s="224"/>
      <c r="T11" s="224">
        <f t="shared" si="5"/>
        <v>0</v>
      </c>
      <c r="U11" s="230" t="e">
        <f t="shared" si="6"/>
        <v>#DIV/0!</v>
      </c>
      <c r="V11" s="231"/>
    </row>
    <row r="12" spans="1:22" ht="22" customHeight="1" x14ac:dyDescent="0.25">
      <c r="A12" s="223" t="s">
        <v>222</v>
      </c>
      <c r="B12" s="214">
        <f t="shared" si="0"/>
        <v>0</v>
      </c>
      <c r="C12" s="232"/>
      <c r="D12" s="232"/>
      <c r="E12" s="233"/>
      <c r="F12" s="226">
        <f t="shared" si="1"/>
        <v>0</v>
      </c>
      <c r="G12" s="232"/>
      <c r="H12" s="232"/>
      <c r="I12" s="234"/>
      <c r="J12" s="228">
        <f t="shared" si="2"/>
        <v>0</v>
      </c>
      <c r="K12" s="232"/>
      <c r="L12" s="232"/>
      <c r="M12" s="233"/>
      <c r="N12" s="226">
        <f t="shared" si="3"/>
        <v>0</v>
      </c>
      <c r="O12" s="232"/>
      <c r="P12" s="232"/>
      <c r="Q12" s="234"/>
      <c r="R12" s="229">
        <f t="shared" si="4"/>
        <v>0</v>
      </c>
      <c r="S12" s="232"/>
      <c r="T12" s="224">
        <f t="shared" si="5"/>
        <v>0</v>
      </c>
      <c r="U12" s="230" t="e">
        <f t="shared" si="6"/>
        <v>#DIV/0!</v>
      </c>
      <c r="V12" s="231"/>
    </row>
    <row r="13" spans="1:22" ht="22" customHeight="1" x14ac:dyDescent="0.25">
      <c r="A13" s="223" t="s">
        <v>223</v>
      </c>
      <c r="B13" s="214">
        <f t="shared" si="0"/>
        <v>0</v>
      </c>
      <c r="C13" s="224"/>
      <c r="D13" s="224"/>
      <c r="E13" s="225"/>
      <c r="F13" s="226">
        <f t="shared" si="1"/>
        <v>0</v>
      </c>
      <c r="G13" s="224"/>
      <c r="H13" s="224"/>
      <c r="I13" s="227"/>
      <c r="J13" s="228">
        <f t="shared" si="2"/>
        <v>0</v>
      </c>
      <c r="K13" s="224"/>
      <c r="L13" s="224"/>
      <c r="M13" s="225"/>
      <c r="N13" s="226">
        <f t="shared" si="3"/>
        <v>0</v>
      </c>
      <c r="O13" s="224"/>
      <c r="P13" s="224"/>
      <c r="Q13" s="227"/>
      <c r="R13" s="229">
        <f t="shared" si="4"/>
        <v>0</v>
      </c>
      <c r="S13" s="224"/>
      <c r="T13" s="224">
        <f t="shared" si="5"/>
        <v>0</v>
      </c>
      <c r="U13" s="230" t="e">
        <f t="shared" si="6"/>
        <v>#DIV/0!</v>
      </c>
      <c r="V13" s="231"/>
    </row>
    <row r="14" spans="1:22" ht="22" customHeight="1" x14ac:dyDescent="0.25">
      <c r="A14" s="223" t="s">
        <v>224</v>
      </c>
      <c r="B14" s="214">
        <f t="shared" si="0"/>
        <v>0</v>
      </c>
      <c r="C14" s="224"/>
      <c r="D14" s="224"/>
      <c r="E14" s="225"/>
      <c r="F14" s="226">
        <f t="shared" si="1"/>
        <v>0</v>
      </c>
      <c r="G14" s="224"/>
      <c r="H14" s="224"/>
      <c r="I14" s="227"/>
      <c r="J14" s="228">
        <f t="shared" si="2"/>
        <v>0</v>
      </c>
      <c r="K14" s="224"/>
      <c r="L14" s="224"/>
      <c r="M14" s="225"/>
      <c r="N14" s="226">
        <f t="shared" si="3"/>
        <v>0</v>
      </c>
      <c r="O14" s="224"/>
      <c r="P14" s="224"/>
      <c r="Q14" s="227"/>
      <c r="R14" s="229">
        <f t="shared" si="4"/>
        <v>0</v>
      </c>
      <c r="S14" s="224"/>
      <c r="T14" s="224">
        <f t="shared" si="5"/>
        <v>0</v>
      </c>
      <c r="U14" s="230" t="e">
        <f t="shared" si="6"/>
        <v>#DIV/0!</v>
      </c>
      <c r="V14" s="231"/>
    </row>
    <row r="15" spans="1:22" ht="22" customHeight="1" x14ac:dyDescent="0.25">
      <c r="A15" s="223" t="s">
        <v>225</v>
      </c>
      <c r="B15" s="214">
        <f t="shared" si="0"/>
        <v>0</v>
      </c>
      <c r="C15" s="224"/>
      <c r="D15" s="224"/>
      <c r="E15" s="225"/>
      <c r="F15" s="226">
        <f t="shared" si="1"/>
        <v>0</v>
      </c>
      <c r="G15" s="224"/>
      <c r="H15" s="224"/>
      <c r="I15" s="227"/>
      <c r="J15" s="228">
        <f t="shared" si="2"/>
        <v>0</v>
      </c>
      <c r="K15" s="224"/>
      <c r="L15" s="224"/>
      <c r="M15" s="225"/>
      <c r="N15" s="226">
        <f t="shared" si="3"/>
        <v>0</v>
      </c>
      <c r="O15" s="224"/>
      <c r="P15" s="224"/>
      <c r="Q15" s="227"/>
      <c r="R15" s="229">
        <f t="shared" si="4"/>
        <v>0</v>
      </c>
      <c r="S15" s="224"/>
      <c r="T15" s="224">
        <f t="shared" si="5"/>
        <v>0</v>
      </c>
      <c r="U15" s="230" t="e">
        <f t="shared" si="6"/>
        <v>#DIV/0!</v>
      </c>
      <c r="V15" s="231"/>
    </row>
    <row r="16" spans="1:22" ht="22" customHeight="1" x14ac:dyDescent="0.25">
      <c r="A16" s="223" t="s">
        <v>226</v>
      </c>
      <c r="B16" s="214">
        <f t="shared" si="0"/>
        <v>0</v>
      </c>
      <c r="C16" s="224"/>
      <c r="D16" s="224"/>
      <c r="E16" s="225"/>
      <c r="F16" s="226">
        <f t="shared" si="1"/>
        <v>0</v>
      </c>
      <c r="G16" s="224"/>
      <c r="H16" s="224"/>
      <c r="I16" s="227"/>
      <c r="J16" s="228">
        <f t="shared" si="2"/>
        <v>0</v>
      </c>
      <c r="K16" s="224"/>
      <c r="L16" s="224"/>
      <c r="M16" s="225"/>
      <c r="N16" s="226">
        <f t="shared" si="3"/>
        <v>0</v>
      </c>
      <c r="O16" s="224"/>
      <c r="P16" s="224"/>
      <c r="Q16" s="227"/>
      <c r="R16" s="229">
        <f t="shared" si="4"/>
        <v>0</v>
      </c>
      <c r="S16" s="224"/>
      <c r="T16" s="224">
        <f t="shared" si="5"/>
        <v>0</v>
      </c>
      <c r="U16" s="230" t="e">
        <f t="shared" si="6"/>
        <v>#DIV/0!</v>
      </c>
      <c r="V16" s="231"/>
    </row>
    <row r="17" spans="1:22" ht="22" customHeight="1" x14ac:dyDescent="0.25">
      <c r="A17" s="223" t="s">
        <v>227</v>
      </c>
      <c r="B17" s="214">
        <f t="shared" si="0"/>
        <v>0</v>
      </c>
      <c r="C17" s="224"/>
      <c r="D17" s="224"/>
      <c r="E17" s="225"/>
      <c r="F17" s="226">
        <f t="shared" si="1"/>
        <v>0</v>
      </c>
      <c r="G17" s="224"/>
      <c r="H17" s="224"/>
      <c r="I17" s="227"/>
      <c r="J17" s="228">
        <f t="shared" si="2"/>
        <v>0</v>
      </c>
      <c r="K17" s="224"/>
      <c r="L17" s="224"/>
      <c r="M17" s="225"/>
      <c r="N17" s="226">
        <f t="shared" si="3"/>
        <v>0</v>
      </c>
      <c r="O17" s="224"/>
      <c r="P17" s="224"/>
      <c r="Q17" s="227"/>
      <c r="R17" s="229">
        <f t="shared" si="4"/>
        <v>0</v>
      </c>
      <c r="S17" s="224"/>
      <c r="T17" s="224">
        <f t="shared" si="5"/>
        <v>0</v>
      </c>
      <c r="U17" s="230" t="e">
        <f t="shared" si="6"/>
        <v>#DIV/0!</v>
      </c>
      <c r="V17" s="231"/>
    </row>
    <row r="18" spans="1:22" ht="22" customHeight="1" x14ac:dyDescent="0.25">
      <c r="A18" s="223" t="s">
        <v>228</v>
      </c>
      <c r="B18" s="214">
        <f t="shared" si="0"/>
        <v>0</v>
      </c>
      <c r="C18" s="232"/>
      <c r="D18" s="232"/>
      <c r="E18" s="233"/>
      <c r="F18" s="226">
        <f t="shared" si="1"/>
        <v>0</v>
      </c>
      <c r="G18" s="232"/>
      <c r="H18" s="232"/>
      <c r="I18" s="234"/>
      <c r="J18" s="228">
        <f t="shared" si="2"/>
        <v>0</v>
      </c>
      <c r="K18" s="232"/>
      <c r="L18" s="232"/>
      <c r="M18" s="233"/>
      <c r="N18" s="226">
        <f t="shared" si="3"/>
        <v>0</v>
      </c>
      <c r="O18" s="232"/>
      <c r="P18" s="232"/>
      <c r="Q18" s="234"/>
      <c r="R18" s="229">
        <f t="shared" si="4"/>
        <v>0</v>
      </c>
      <c r="S18" s="232"/>
      <c r="T18" s="224">
        <f t="shared" si="5"/>
        <v>0</v>
      </c>
      <c r="U18" s="230" t="e">
        <f t="shared" si="6"/>
        <v>#DIV/0!</v>
      </c>
      <c r="V18" s="231"/>
    </row>
    <row r="19" spans="1:22" ht="22" customHeight="1" x14ac:dyDescent="0.25">
      <c r="A19" s="223" t="s">
        <v>229</v>
      </c>
      <c r="B19" s="214">
        <f t="shared" si="0"/>
        <v>0</v>
      </c>
      <c r="C19" s="224"/>
      <c r="D19" s="224"/>
      <c r="E19" s="225"/>
      <c r="F19" s="226">
        <f t="shared" si="1"/>
        <v>0</v>
      </c>
      <c r="G19" s="224"/>
      <c r="H19" s="224"/>
      <c r="I19" s="227"/>
      <c r="J19" s="228">
        <f t="shared" si="2"/>
        <v>0</v>
      </c>
      <c r="K19" s="224"/>
      <c r="L19" s="224"/>
      <c r="M19" s="225"/>
      <c r="N19" s="226">
        <f t="shared" si="3"/>
        <v>0</v>
      </c>
      <c r="O19" s="224"/>
      <c r="P19" s="224"/>
      <c r="Q19" s="227"/>
      <c r="R19" s="229">
        <f t="shared" si="4"/>
        <v>0</v>
      </c>
      <c r="S19" s="224"/>
      <c r="T19" s="224">
        <f t="shared" si="5"/>
        <v>0</v>
      </c>
      <c r="U19" s="230" t="e">
        <f t="shared" si="6"/>
        <v>#DIV/0!</v>
      </c>
      <c r="V19" s="231"/>
    </row>
    <row r="20" spans="1:22" ht="22" customHeight="1" x14ac:dyDescent="0.25">
      <c r="A20" s="223" t="s">
        <v>230</v>
      </c>
      <c r="B20" s="214">
        <f t="shared" si="0"/>
        <v>0</v>
      </c>
      <c r="C20" s="224"/>
      <c r="D20" s="224"/>
      <c r="E20" s="225"/>
      <c r="F20" s="226">
        <f t="shared" si="1"/>
        <v>0</v>
      </c>
      <c r="G20" s="224"/>
      <c r="H20" s="224"/>
      <c r="I20" s="227"/>
      <c r="J20" s="228">
        <f t="shared" si="2"/>
        <v>0</v>
      </c>
      <c r="K20" s="224"/>
      <c r="L20" s="224"/>
      <c r="M20" s="225"/>
      <c r="N20" s="226">
        <f t="shared" si="3"/>
        <v>0</v>
      </c>
      <c r="O20" s="224"/>
      <c r="P20" s="224"/>
      <c r="Q20" s="227"/>
      <c r="R20" s="229">
        <f t="shared" si="4"/>
        <v>0</v>
      </c>
      <c r="S20" s="224"/>
      <c r="T20" s="224">
        <f t="shared" si="5"/>
        <v>0</v>
      </c>
      <c r="U20" s="230" t="e">
        <f t="shared" si="6"/>
        <v>#DIV/0!</v>
      </c>
      <c r="V20" s="231"/>
    </row>
    <row r="21" spans="1:22" ht="22" customHeight="1" x14ac:dyDescent="0.25">
      <c r="A21" s="223" t="s">
        <v>231</v>
      </c>
      <c r="B21" s="214">
        <f t="shared" si="0"/>
        <v>0</v>
      </c>
      <c r="C21" s="224"/>
      <c r="D21" s="224"/>
      <c r="E21" s="225"/>
      <c r="F21" s="226">
        <f t="shared" si="1"/>
        <v>0</v>
      </c>
      <c r="G21" s="224"/>
      <c r="H21" s="224"/>
      <c r="I21" s="227"/>
      <c r="J21" s="228">
        <f t="shared" si="2"/>
        <v>0</v>
      </c>
      <c r="K21" s="224"/>
      <c r="L21" s="224"/>
      <c r="M21" s="225"/>
      <c r="N21" s="226">
        <f t="shared" si="3"/>
        <v>0</v>
      </c>
      <c r="O21" s="224"/>
      <c r="P21" s="224"/>
      <c r="Q21" s="227"/>
      <c r="R21" s="229">
        <f t="shared" si="4"/>
        <v>0</v>
      </c>
      <c r="S21" s="224"/>
      <c r="T21" s="224">
        <f t="shared" si="5"/>
        <v>0</v>
      </c>
      <c r="U21" s="230" t="e">
        <f t="shared" si="6"/>
        <v>#DIV/0!</v>
      </c>
      <c r="V21" s="231"/>
    </row>
    <row r="22" spans="1:22" ht="22" customHeight="1" x14ac:dyDescent="0.25">
      <c r="A22" s="223" t="s">
        <v>232</v>
      </c>
      <c r="B22" s="214">
        <f t="shared" si="0"/>
        <v>0</v>
      </c>
      <c r="C22" s="224"/>
      <c r="D22" s="224"/>
      <c r="E22" s="225"/>
      <c r="F22" s="226">
        <f t="shared" si="1"/>
        <v>0</v>
      </c>
      <c r="G22" s="224"/>
      <c r="H22" s="224"/>
      <c r="I22" s="227"/>
      <c r="J22" s="228">
        <f t="shared" si="2"/>
        <v>0</v>
      </c>
      <c r="K22" s="224"/>
      <c r="L22" s="224"/>
      <c r="M22" s="225"/>
      <c r="N22" s="226">
        <f t="shared" si="3"/>
        <v>0</v>
      </c>
      <c r="O22" s="224"/>
      <c r="P22" s="224"/>
      <c r="Q22" s="227"/>
      <c r="R22" s="229">
        <f t="shared" si="4"/>
        <v>0</v>
      </c>
      <c r="S22" s="224"/>
      <c r="T22" s="224">
        <f t="shared" si="5"/>
        <v>0</v>
      </c>
      <c r="U22" s="230" t="e">
        <f t="shared" si="6"/>
        <v>#DIV/0!</v>
      </c>
      <c r="V22" s="231"/>
    </row>
    <row r="23" spans="1:22" ht="22" customHeight="1" x14ac:dyDescent="0.25">
      <c r="A23" s="223" t="s">
        <v>233</v>
      </c>
      <c r="B23" s="214">
        <f t="shared" si="0"/>
        <v>0</v>
      </c>
      <c r="C23" s="224"/>
      <c r="D23" s="224"/>
      <c r="E23" s="225"/>
      <c r="F23" s="226">
        <f t="shared" si="1"/>
        <v>0</v>
      </c>
      <c r="G23" s="224"/>
      <c r="H23" s="224"/>
      <c r="I23" s="227"/>
      <c r="J23" s="228">
        <f t="shared" si="2"/>
        <v>0</v>
      </c>
      <c r="K23" s="224"/>
      <c r="L23" s="224"/>
      <c r="M23" s="225"/>
      <c r="N23" s="226">
        <f t="shared" si="3"/>
        <v>0</v>
      </c>
      <c r="O23" s="224"/>
      <c r="P23" s="224"/>
      <c r="Q23" s="227"/>
      <c r="R23" s="229">
        <f t="shared" si="4"/>
        <v>0</v>
      </c>
      <c r="S23" s="224"/>
      <c r="T23" s="224">
        <f t="shared" si="5"/>
        <v>0</v>
      </c>
      <c r="U23" s="230" t="e">
        <f t="shared" si="6"/>
        <v>#DIV/0!</v>
      </c>
      <c r="V23" s="231"/>
    </row>
    <row r="24" spans="1:22" ht="22" customHeight="1" x14ac:dyDescent="0.25">
      <c r="A24" s="223" t="s">
        <v>234</v>
      </c>
      <c r="B24" s="214">
        <f t="shared" si="0"/>
        <v>0</v>
      </c>
      <c r="C24" s="232"/>
      <c r="D24" s="232"/>
      <c r="E24" s="233"/>
      <c r="F24" s="226">
        <f t="shared" si="1"/>
        <v>0</v>
      </c>
      <c r="G24" s="232"/>
      <c r="H24" s="232"/>
      <c r="I24" s="234"/>
      <c r="J24" s="228">
        <f t="shared" si="2"/>
        <v>0</v>
      </c>
      <c r="K24" s="232"/>
      <c r="L24" s="232"/>
      <c r="M24" s="233"/>
      <c r="N24" s="226">
        <f t="shared" si="3"/>
        <v>0</v>
      </c>
      <c r="O24" s="232"/>
      <c r="P24" s="232"/>
      <c r="Q24" s="234"/>
      <c r="R24" s="229">
        <f t="shared" si="4"/>
        <v>0</v>
      </c>
      <c r="S24" s="232"/>
      <c r="T24" s="224">
        <f t="shared" si="5"/>
        <v>0</v>
      </c>
      <c r="U24" s="230" t="e">
        <f t="shared" si="6"/>
        <v>#DIV/0!</v>
      </c>
      <c r="V24" s="231"/>
    </row>
    <row r="25" spans="1:22" ht="22" customHeight="1" x14ac:dyDescent="0.25">
      <c r="A25" s="223" t="s">
        <v>235</v>
      </c>
      <c r="B25" s="214">
        <f t="shared" si="0"/>
        <v>0</v>
      </c>
      <c r="C25" s="224"/>
      <c r="D25" s="224"/>
      <c r="E25" s="225"/>
      <c r="F25" s="226">
        <f t="shared" si="1"/>
        <v>0</v>
      </c>
      <c r="G25" s="224"/>
      <c r="H25" s="224"/>
      <c r="I25" s="227"/>
      <c r="J25" s="228">
        <f t="shared" si="2"/>
        <v>0</v>
      </c>
      <c r="K25" s="224"/>
      <c r="L25" s="224"/>
      <c r="M25" s="225"/>
      <c r="N25" s="226">
        <f t="shared" si="3"/>
        <v>0</v>
      </c>
      <c r="O25" s="224"/>
      <c r="P25" s="224"/>
      <c r="Q25" s="227"/>
      <c r="R25" s="229">
        <f t="shared" si="4"/>
        <v>0</v>
      </c>
      <c r="S25" s="224"/>
      <c r="T25" s="224">
        <f t="shared" si="5"/>
        <v>0</v>
      </c>
      <c r="U25" s="230" t="e">
        <f t="shared" si="6"/>
        <v>#DIV/0!</v>
      </c>
      <c r="V25" s="231"/>
    </row>
    <row r="26" spans="1:22" ht="30" customHeight="1" x14ac:dyDescent="0.25">
      <c r="A26" s="235" t="s">
        <v>236</v>
      </c>
      <c r="B26" s="214">
        <f t="shared" si="0"/>
        <v>0</v>
      </c>
      <c r="C26" s="224"/>
      <c r="D26" s="224"/>
      <c r="E26" s="225"/>
      <c r="F26" s="226">
        <f t="shared" si="1"/>
        <v>0</v>
      </c>
      <c r="G26" s="224"/>
      <c r="H26" s="224"/>
      <c r="I26" s="227"/>
      <c r="J26" s="228">
        <f t="shared" si="2"/>
        <v>0</v>
      </c>
      <c r="K26" s="224"/>
      <c r="L26" s="224"/>
      <c r="M26" s="225"/>
      <c r="N26" s="226">
        <f t="shared" si="3"/>
        <v>0</v>
      </c>
      <c r="O26" s="224"/>
      <c r="P26" s="224"/>
      <c r="Q26" s="227"/>
      <c r="R26" s="229">
        <f t="shared" si="4"/>
        <v>0</v>
      </c>
      <c r="S26" s="224"/>
      <c r="T26" s="224">
        <f t="shared" si="5"/>
        <v>0</v>
      </c>
      <c r="U26" s="230" t="e">
        <f t="shared" si="6"/>
        <v>#DIV/0!</v>
      </c>
      <c r="V26" s="231"/>
    </row>
    <row r="27" spans="1:22" ht="22" customHeight="1" x14ac:dyDescent="0.25">
      <c r="A27" s="223" t="s">
        <v>237</v>
      </c>
      <c r="B27" s="214">
        <f t="shared" si="0"/>
        <v>0</v>
      </c>
      <c r="C27" s="224"/>
      <c r="D27" s="224"/>
      <c r="E27" s="225"/>
      <c r="F27" s="226">
        <f t="shared" si="1"/>
        <v>0</v>
      </c>
      <c r="G27" s="224"/>
      <c r="H27" s="224"/>
      <c r="I27" s="227"/>
      <c r="J27" s="228">
        <f t="shared" si="2"/>
        <v>0</v>
      </c>
      <c r="K27" s="224"/>
      <c r="L27" s="224"/>
      <c r="M27" s="225"/>
      <c r="N27" s="226">
        <f t="shared" si="3"/>
        <v>0</v>
      </c>
      <c r="O27" s="224"/>
      <c r="P27" s="224"/>
      <c r="Q27" s="227"/>
      <c r="R27" s="229">
        <f t="shared" si="4"/>
        <v>0</v>
      </c>
      <c r="S27" s="224"/>
      <c r="T27" s="224">
        <f t="shared" si="5"/>
        <v>0</v>
      </c>
      <c r="U27" s="230" t="e">
        <f t="shared" si="6"/>
        <v>#DIV/0!</v>
      </c>
      <c r="V27" s="231"/>
    </row>
    <row r="28" spans="1:22" ht="22" customHeight="1" x14ac:dyDescent="0.25">
      <c r="A28" s="223" t="s">
        <v>238</v>
      </c>
      <c r="B28" s="214">
        <f t="shared" si="0"/>
        <v>0</v>
      </c>
      <c r="C28" s="224"/>
      <c r="D28" s="224"/>
      <c r="E28" s="225"/>
      <c r="F28" s="226">
        <f t="shared" si="1"/>
        <v>0</v>
      </c>
      <c r="G28" s="224"/>
      <c r="H28" s="224"/>
      <c r="I28" s="227"/>
      <c r="J28" s="228">
        <f t="shared" si="2"/>
        <v>0</v>
      </c>
      <c r="K28" s="224"/>
      <c r="L28" s="224"/>
      <c r="M28" s="225"/>
      <c r="N28" s="226">
        <f t="shared" si="3"/>
        <v>0</v>
      </c>
      <c r="O28" s="224"/>
      <c r="P28" s="224"/>
      <c r="Q28" s="227"/>
      <c r="R28" s="229">
        <f t="shared" si="4"/>
        <v>0</v>
      </c>
      <c r="S28" s="224"/>
      <c r="T28" s="224">
        <f t="shared" si="5"/>
        <v>0</v>
      </c>
      <c r="U28" s="230" t="e">
        <f t="shared" si="6"/>
        <v>#DIV/0!</v>
      </c>
      <c r="V28" s="231"/>
    </row>
    <row r="29" spans="1:22" ht="22" customHeight="1" x14ac:dyDescent="0.25">
      <c r="A29" s="223" t="s">
        <v>239</v>
      </c>
      <c r="B29" s="214">
        <f t="shared" si="0"/>
        <v>0</v>
      </c>
      <c r="C29" s="224"/>
      <c r="D29" s="224"/>
      <c r="E29" s="225"/>
      <c r="F29" s="226">
        <f t="shared" si="1"/>
        <v>0</v>
      </c>
      <c r="G29" s="224"/>
      <c r="H29" s="224"/>
      <c r="I29" s="227"/>
      <c r="J29" s="228">
        <f t="shared" si="2"/>
        <v>0</v>
      </c>
      <c r="K29" s="224"/>
      <c r="L29" s="224"/>
      <c r="M29" s="225"/>
      <c r="N29" s="226">
        <f t="shared" si="3"/>
        <v>0</v>
      </c>
      <c r="O29" s="224"/>
      <c r="P29" s="224"/>
      <c r="Q29" s="227"/>
      <c r="R29" s="229">
        <f t="shared" si="4"/>
        <v>0</v>
      </c>
      <c r="S29" s="224"/>
      <c r="T29" s="224">
        <f t="shared" si="5"/>
        <v>0</v>
      </c>
      <c r="U29" s="230" t="e">
        <f t="shared" si="6"/>
        <v>#DIV/0!</v>
      </c>
      <c r="V29" s="231"/>
    </row>
    <row r="30" spans="1:22" ht="22" customHeight="1" x14ac:dyDescent="0.25">
      <c r="A30" s="223" t="s">
        <v>152</v>
      </c>
      <c r="B30" s="214">
        <f t="shared" si="0"/>
        <v>0</v>
      </c>
      <c r="C30" s="224"/>
      <c r="D30" s="224"/>
      <c r="E30" s="225"/>
      <c r="F30" s="226">
        <f t="shared" si="1"/>
        <v>0</v>
      </c>
      <c r="G30" s="224"/>
      <c r="H30" s="224"/>
      <c r="I30" s="227"/>
      <c r="J30" s="228">
        <f t="shared" si="2"/>
        <v>0</v>
      </c>
      <c r="K30" s="224"/>
      <c r="L30" s="224"/>
      <c r="M30" s="225"/>
      <c r="N30" s="226">
        <f t="shared" si="3"/>
        <v>0</v>
      </c>
      <c r="O30" s="224"/>
      <c r="P30" s="224"/>
      <c r="Q30" s="227"/>
      <c r="R30" s="229">
        <f t="shared" si="4"/>
        <v>0</v>
      </c>
      <c r="S30" s="224"/>
      <c r="T30" s="224">
        <f t="shared" si="5"/>
        <v>0</v>
      </c>
      <c r="U30" s="230" t="e">
        <f t="shared" si="6"/>
        <v>#DIV/0!</v>
      </c>
      <c r="V30" s="231"/>
    </row>
    <row r="31" spans="1:22" ht="22" customHeight="1" x14ac:dyDescent="0.25">
      <c r="A31" s="223" t="s">
        <v>240</v>
      </c>
      <c r="B31" s="214">
        <f t="shared" si="0"/>
        <v>0</v>
      </c>
      <c r="C31" s="224"/>
      <c r="D31" s="224"/>
      <c r="E31" s="225"/>
      <c r="F31" s="226">
        <f t="shared" si="1"/>
        <v>0</v>
      </c>
      <c r="G31" s="224"/>
      <c r="H31" s="224"/>
      <c r="I31" s="227"/>
      <c r="J31" s="228">
        <f t="shared" si="2"/>
        <v>0</v>
      </c>
      <c r="K31" s="224"/>
      <c r="L31" s="224"/>
      <c r="M31" s="225"/>
      <c r="N31" s="226">
        <f t="shared" si="3"/>
        <v>0</v>
      </c>
      <c r="O31" s="224"/>
      <c r="P31" s="224"/>
      <c r="Q31" s="227"/>
      <c r="R31" s="229">
        <f t="shared" si="4"/>
        <v>0</v>
      </c>
      <c r="S31" s="224"/>
      <c r="T31" s="224">
        <f t="shared" si="5"/>
        <v>0</v>
      </c>
      <c r="U31" s="230" t="e">
        <f t="shared" si="6"/>
        <v>#DIV/0!</v>
      </c>
      <c r="V31" s="231"/>
    </row>
    <row r="32" spans="1:22" ht="22" customHeight="1" x14ac:dyDescent="0.25">
      <c r="A32" s="223" t="s">
        <v>241</v>
      </c>
      <c r="B32" s="214">
        <f t="shared" si="0"/>
        <v>0</v>
      </c>
      <c r="C32" s="224"/>
      <c r="D32" s="224"/>
      <c r="E32" s="225"/>
      <c r="F32" s="226">
        <f t="shared" si="1"/>
        <v>0</v>
      </c>
      <c r="G32" s="224"/>
      <c r="H32" s="224"/>
      <c r="I32" s="227"/>
      <c r="J32" s="228">
        <f t="shared" si="2"/>
        <v>0</v>
      </c>
      <c r="K32" s="224"/>
      <c r="L32" s="224"/>
      <c r="M32" s="225"/>
      <c r="N32" s="226">
        <f t="shared" si="3"/>
        <v>0</v>
      </c>
      <c r="O32" s="224"/>
      <c r="P32" s="224"/>
      <c r="Q32" s="227"/>
      <c r="R32" s="229">
        <f t="shared" si="4"/>
        <v>0</v>
      </c>
      <c r="S32" s="224"/>
      <c r="T32" s="224">
        <f t="shared" si="5"/>
        <v>0</v>
      </c>
      <c r="U32" s="230" t="e">
        <f t="shared" si="6"/>
        <v>#DIV/0!</v>
      </c>
      <c r="V32" s="236"/>
    </row>
    <row r="33" spans="1:22" ht="22" customHeight="1" x14ac:dyDescent="0.25">
      <c r="A33" s="223" t="s">
        <v>242</v>
      </c>
      <c r="B33" s="214">
        <f t="shared" si="0"/>
        <v>0</v>
      </c>
      <c r="C33" s="224"/>
      <c r="D33" s="224"/>
      <c r="E33" s="225"/>
      <c r="F33" s="226">
        <f t="shared" si="1"/>
        <v>0</v>
      </c>
      <c r="G33" s="224"/>
      <c r="H33" s="224"/>
      <c r="I33" s="227"/>
      <c r="J33" s="228">
        <f t="shared" si="2"/>
        <v>0</v>
      </c>
      <c r="K33" s="224"/>
      <c r="L33" s="224"/>
      <c r="M33" s="225"/>
      <c r="N33" s="226">
        <f t="shared" si="3"/>
        <v>0</v>
      </c>
      <c r="O33" s="224"/>
      <c r="P33" s="224"/>
      <c r="Q33" s="227"/>
      <c r="R33" s="229">
        <f t="shared" si="4"/>
        <v>0</v>
      </c>
      <c r="S33" s="224"/>
      <c r="T33" s="224">
        <f t="shared" si="5"/>
        <v>0</v>
      </c>
      <c r="U33" s="230" t="e">
        <f t="shared" si="6"/>
        <v>#DIV/0!</v>
      </c>
      <c r="V33" s="231"/>
    </row>
    <row r="34" spans="1:22" ht="22" customHeight="1" x14ac:dyDescent="0.25">
      <c r="A34" s="223" t="s">
        <v>243</v>
      </c>
      <c r="B34" s="214">
        <f t="shared" si="0"/>
        <v>0</v>
      </c>
      <c r="C34" s="232"/>
      <c r="D34" s="232"/>
      <c r="E34" s="233"/>
      <c r="F34" s="226">
        <f t="shared" si="1"/>
        <v>0</v>
      </c>
      <c r="G34" s="232"/>
      <c r="H34" s="232"/>
      <c r="I34" s="234"/>
      <c r="J34" s="228">
        <f t="shared" si="2"/>
        <v>0</v>
      </c>
      <c r="K34" s="232"/>
      <c r="L34" s="232"/>
      <c r="M34" s="233"/>
      <c r="N34" s="226">
        <f t="shared" si="3"/>
        <v>0</v>
      </c>
      <c r="O34" s="232"/>
      <c r="P34" s="232"/>
      <c r="Q34" s="234"/>
      <c r="R34" s="229">
        <f t="shared" si="4"/>
        <v>0</v>
      </c>
      <c r="S34" s="232"/>
      <c r="T34" s="224">
        <f t="shared" si="5"/>
        <v>0</v>
      </c>
      <c r="U34" s="230" t="e">
        <f t="shared" si="6"/>
        <v>#DIV/0!</v>
      </c>
      <c r="V34" s="231"/>
    </row>
    <row r="35" spans="1:22" ht="22" customHeight="1" x14ac:dyDescent="0.25">
      <c r="A35" s="223" t="s">
        <v>244</v>
      </c>
      <c r="B35" s="214">
        <f t="shared" si="0"/>
        <v>0</v>
      </c>
      <c r="C35" s="224"/>
      <c r="D35" s="224"/>
      <c r="E35" s="225"/>
      <c r="F35" s="226">
        <f t="shared" si="1"/>
        <v>0</v>
      </c>
      <c r="G35" s="224"/>
      <c r="H35" s="224"/>
      <c r="I35" s="227"/>
      <c r="J35" s="228">
        <f t="shared" si="2"/>
        <v>0</v>
      </c>
      <c r="K35" s="224"/>
      <c r="L35" s="224"/>
      <c r="M35" s="225"/>
      <c r="N35" s="226">
        <f t="shared" si="3"/>
        <v>0</v>
      </c>
      <c r="O35" s="224"/>
      <c r="P35" s="224"/>
      <c r="Q35" s="227"/>
      <c r="R35" s="229">
        <f t="shared" si="4"/>
        <v>0</v>
      </c>
      <c r="S35" s="224"/>
      <c r="T35" s="224">
        <f t="shared" si="5"/>
        <v>0</v>
      </c>
      <c r="U35" s="230" t="e">
        <f t="shared" si="6"/>
        <v>#DIV/0!</v>
      </c>
      <c r="V35" s="231"/>
    </row>
    <row r="36" spans="1:22" ht="22" customHeight="1" x14ac:dyDescent="0.25">
      <c r="A36" s="223" t="s">
        <v>245</v>
      </c>
      <c r="B36" s="214">
        <f t="shared" si="0"/>
        <v>0</v>
      </c>
      <c r="C36" s="224"/>
      <c r="D36" s="224"/>
      <c r="E36" s="225"/>
      <c r="F36" s="226">
        <f t="shared" si="1"/>
        <v>0</v>
      </c>
      <c r="G36" s="224"/>
      <c r="H36" s="224"/>
      <c r="I36" s="227"/>
      <c r="J36" s="228">
        <f t="shared" si="2"/>
        <v>0</v>
      </c>
      <c r="K36" s="224"/>
      <c r="L36" s="224"/>
      <c r="M36" s="225"/>
      <c r="N36" s="226">
        <f t="shared" si="3"/>
        <v>0</v>
      </c>
      <c r="O36" s="224"/>
      <c r="P36" s="224"/>
      <c r="Q36" s="227"/>
      <c r="R36" s="229">
        <f t="shared" si="4"/>
        <v>0</v>
      </c>
      <c r="S36" s="224"/>
      <c r="T36" s="224">
        <f t="shared" si="5"/>
        <v>0</v>
      </c>
      <c r="U36" s="230" t="e">
        <f t="shared" si="6"/>
        <v>#DIV/0!</v>
      </c>
      <c r="V36" s="231"/>
    </row>
    <row r="37" spans="1:22" ht="22" customHeight="1" x14ac:dyDescent="0.25">
      <c r="A37" s="223" t="s">
        <v>106</v>
      </c>
      <c r="B37" s="214">
        <f t="shared" si="0"/>
        <v>0</v>
      </c>
      <c r="C37" s="232"/>
      <c r="D37" s="232"/>
      <c r="E37" s="233"/>
      <c r="F37" s="226">
        <f t="shared" si="1"/>
        <v>0</v>
      </c>
      <c r="G37" s="232"/>
      <c r="H37" s="232"/>
      <c r="I37" s="234"/>
      <c r="J37" s="228">
        <f t="shared" si="2"/>
        <v>0</v>
      </c>
      <c r="K37" s="232"/>
      <c r="L37" s="232"/>
      <c r="M37" s="233"/>
      <c r="N37" s="226">
        <f t="shared" si="3"/>
        <v>0</v>
      </c>
      <c r="O37" s="232"/>
      <c r="P37" s="232"/>
      <c r="Q37" s="234"/>
      <c r="R37" s="229">
        <f t="shared" si="4"/>
        <v>0</v>
      </c>
      <c r="S37" s="232"/>
      <c r="T37" s="224">
        <f t="shared" si="5"/>
        <v>0</v>
      </c>
      <c r="U37" s="230" t="e">
        <f t="shared" si="6"/>
        <v>#DIV/0!</v>
      </c>
      <c r="V37" s="231"/>
    </row>
    <row r="38" spans="1:22" ht="22" customHeight="1" x14ac:dyDescent="0.25">
      <c r="A38" s="223" t="s">
        <v>246</v>
      </c>
      <c r="B38" s="214">
        <f t="shared" ref="B38:B56" si="7">SUM(C38:E38)</f>
        <v>0</v>
      </c>
      <c r="C38" s="224"/>
      <c r="D38" s="224"/>
      <c r="E38" s="225"/>
      <c r="F38" s="226">
        <f t="shared" si="1"/>
        <v>0</v>
      </c>
      <c r="G38" s="224"/>
      <c r="H38" s="224"/>
      <c r="I38" s="227"/>
      <c r="J38" s="228">
        <f t="shared" si="2"/>
        <v>0</v>
      </c>
      <c r="K38" s="224"/>
      <c r="L38" s="224"/>
      <c r="M38" s="225"/>
      <c r="N38" s="226">
        <f t="shared" si="3"/>
        <v>0</v>
      </c>
      <c r="O38" s="224"/>
      <c r="P38" s="224"/>
      <c r="Q38" s="227"/>
      <c r="R38" s="229">
        <f t="shared" si="4"/>
        <v>0</v>
      </c>
      <c r="S38" s="224"/>
      <c r="T38" s="224">
        <f t="shared" si="5"/>
        <v>0</v>
      </c>
      <c r="U38" s="230" t="e">
        <f t="shared" si="6"/>
        <v>#DIV/0!</v>
      </c>
      <c r="V38" s="231"/>
    </row>
    <row r="39" spans="1:22" ht="22" customHeight="1" x14ac:dyDescent="0.25">
      <c r="A39" s="223" t="s">
        <v>247</v>
      </c>
      <c r="B39" s="214">
        <f t="shared" si="7"/>
        <v>0</v>
      </c>
      <c r="C39" s="224"/>
      <c r="D39" s="224"/>
      <c r="E39" s="225"/>
      <c r="F39" s="226">
        <f t="shared" si="1"/>
        <v>0</v>
      </c>
      <c r="G39" s="224"/>
      <c r="H39" s="224"/>
      <c r="I39" s="227"/>
      <c r="J39" s="228">
        <f t="shared" si="2"/>
        <v>0</v>
      </c>
      <c r="K39" s="224"/>
      <c r="L39" s="224"/>
      <c r="M39" s="225"/>
      <c r="N39" s="226">
        <f t="shared" si="3"/>
        <v>0</v>
      </c>
      <c r="O39" s="224"/>
      <c r="P39" s="224"/>
      <c r="Q39" s="227"/>
      <c r="R39" s="229">
        <f t="shared" si="4"/>
        <v>0</v>
      </c>
      <c r="S39" s="224"/>
      <c r="T39" s="224">
        <f t="shared" si="5"/>
        <v>0</v>
      </c>
      <c r="U39" s="230" t="e">
        <f t="shared" si="6"/>
        <v>#DIV/0!</v>
      </c>
      <c r="V39" s="231"/>
    </row>
    <row r="40" spans="1:22" ht="22" customHeight="1" x14ac:dyDescent="0.25">
      <c r="A40" s="223" t="s">
        <v>248</v>
      </c>
      <c r="B40" s="214">
        <f t="shared" si="7"/>
        <v>0</v>
      </c>
      <c r="C40" s="224"/>
      <c r="D40" s="224"/>
      <c r="E40" s="225"/>
      <c r="F40" s="226">
        <f t="shared" si="1"/>
        <v>0</v>
      </c>
      <c r="G40" s="224"/>
      <c r="H40" s="224"/>
      <c r="I40" s="227"/>
      <c r="J40" s="228">
        <f t="shared" si="2"/>
        <v>0</v>
      </c>
      <c r="K40" s="224"/>
      <c r="L40" s="224"/>
      <c r="M40" s="225"/>
      <c r="N40" s="226">
        <f t="shared" si="3"/>
        <v>0</v>
      </c>
      <c r="O40" s="224"/>
      <c r="P40" s="224"/>
      <c r="Q40" s="227"/>
      <c r="R40" s="229">
        <f t="shared" si="4"/>
        <v>0</v>
      </c>
      <c r="S40" s="224"/>
      <c r="T40" s="224">
        <f t="shared" si="5"/>
        <v>0</v>
      </c>
      <c r="U40" s="230" t="e">
        <f t="shared" si="6"/>
        <v>#DIV/0!</v>
      </c>
      <c r="V40" s="231"/>
    </row>
    <row r="41" spans="1:22" ht="22" customHeight="1" x14ac:dyDescent="0.25">
      <c r="A41" s="223" t="s">
        <v>249</v>
      </c>
      <c r="B41" s="214">
        <f t="shared" si="7"/>
        <v>0</v>
      </c>
      <c r="C41" s="224"/>
      <c r="D41" s="224"/>
      <c r="E41" s="225"/>
      <c r="F41" s="226">
        <f t="shared" si="1"/>
        <v>0</v>
      </c>
      <c r="G41" s="224"/>
      <c r="H41" s="224"/>
      <c r="I41" s="227"/>
      <c r="J41" s="228">
        <f t="shared" si="2"/>
        <v>0</v>
      </c>
      <c r="K41" s="224"/>
      <c r="L41" s="224"/>
      <c r="M41" s="225"/>
      <c r="N41" s="226">
        <f t="shared" si="3"/>
        <v>0</v>
      </c>
      <c r="O41" s="224"/>
      <c r="P41" s="224"/>
      <c r="Q41" s="227"/>
      <c r="R41" s="229">
        <f t="shared" si="4"/>
        <v>0</v>
      </c>
      <c r="S41" s="224"/>
      <c r="T41" s="224">
        <f t="shared" si="5"/>
        <v>0</v>
      </c>
      <c r="U41" s="230" t="e">
        <f t="shared" si="6"/>
        <v>#DIV/0!</v>
      </c>
      <c r="V41" s="236"/>
    </row>
    <row r="42" spans="1:22" ht="22" customHeight="1" x14ac:dyDescent="0.25">
      <c r="A42" s="223" t="s">
        <v>250</v>
      </c>
      <c r="B42" s="214">
        <f t="shared" si="7"/>
        <v>0</v>
      </c>
      <c r="C42" s="224"/>
      <c r="D42" s="224"/>
      <c r="E42" s="225"/>
      <c r="F42" s="226">
        <f t="shared" si="1"/>
        <v>0</v>
      </c>
      <c r="G42" s="224"/>
      <c r="H42" s="224"/>
      <c r="I42" s="227"/>
      <c r="J42" s="228">
        <f t="shared" si="2"/>
        <v>0</v>
      </c>
      <c r="K42" s="224"/>
      <c r="L42" s="224"/>
      <c r="M42" s="225"/>
      <c r="N42" s="226">
        <f t="shared" si="3"/>
        <v>0</v>
      </c>
      <c r="O42" s="224"/>
      <c r="P42" s="224"/>
      <c r="Q42" s="227"/>
      <c r="R42" s="229">
        <f t="shared" si="4"/>
        <v>0</v>
      </c>
      <c r="S42" s="224"/>
      <c r="T42" s="224">
        <f t="shared" si="5"/>
        <v>0</v>
      </c>
      <c r="U42" s="230" t="e">
        <f t="shared" si="6"/>
        <v>#DIV/0!</v>
      </c>
      <c r="V42" s="231"/>
    </row>
    <row r="43" spans="1:22" ht="27" customHeight="1" x14ac:dyDescent="0.25">
      <c r="A43" s="235" t="s">
        <v>251</v>
      </c>
      <c r="B43" s="214">
        <f t="shared" si="7"/>
        <v>0</v>
      </c>
      <c r="C43" s="232"/>
      <c r="D43" s="232"/>
      <c r="E43" s="233"/>
      <c r="F43" s="226">
        <f t="shared" si="1"/>
        <v>0</v>
      </c>
      <c r="G43" s="232"/>
      <c r="H43" s="232"/>
      <c r="I43" s="234"/>
      <c r="J43" s="228">
        <f t="shared" si="2"/>
        <v>0</v>
      </c>
      <c r="K43" s="232"/>
      <c r="L43" s="232"/>
      <c r="M43" s="233"/>
      <c r="N43" s="226">
        <f t="shared" si="3"/>
        <v>0</v>
      </c>
      <c r="O43" s="232"/>
      <c r="P43" s="232"/>
      <c r="Q43" s="234"/>
      <c r="R43" s="229">
        <f t="shared" si="4"/>
        <v>0</v>
      </c>
      <c r="S43" s="232"/>
      <c r="T43" s="224">
        <f t="shared" si="5"/>
        <v>0</v>
      </c>
      <c r="U43" s="230" t="e">
        <f t="shared" si="6"/>
        <v>#DIV/0!</v>
      </c>
      <c r="V43" s="231"/>
    </row>
    <row r="44" spans="1:22" ht="22" customHeight="1" x14ac:dyDescent="0.25">
      <c r="A44" s="223" t="s">
        <v>252</v>
      </c>
      <c r="B44" s="214">
        <f t="shared" si="7"/>
        <v>0</v>
      </c>
      <c r="C44" s="224"/>
      <c r="D44" s="224"/>
      <c r="E44" s="225"/>
      <c r="F44" s="226">
        <f t="shared" si="1"/>
        <v>0</v>
      </c>
      <c r="G44" s="224"/>
      <c r="H44" s="224"/>
      <c r="I44" s="227"/>
      <c r="J44" s="228">
        <f t="shared" si="2"/>
        <v>0</v>
      </c>
      <c r="K44" s="224"/>
      <c r="L44" s="224"/>
      <c r="M44" s="225"/>
      <c r="N44" s="226">
        <f t="shared" si="3"/>
        <v>0</v>
      </c>
      <c r="O44" s="224"/>
      <c r="P44" s="224"/>
      <c r="Q44" s="227"/>
      <c r="R44" s="229">
        <f t="shared" si="4"/>
        <v>0</v>
      </c>
      <c r="S44" s="224"/>
      <c r="T44" s="224">
        <f t="shared" si="5"/>
        <v>0</v>
      </c>
      <c r="U44" s="230" t="e">
        <f t="shared" si="6"/>
        <v>#DIV/0!</v>
      </c>
      <c r="V44" s="231"/>
    </row>
    <row r="45" spans="1:22" ht="39" customHeight="1" x14ac:dyDescent="0.25">
      <c r="A45" s="235" t="s">
        <v>253</v>
      </c>
      <c r="B45" s="214">
        <f t="shared" si="7"/>
        <v>0</v>
      </c>
      <c r="C45" s="224"/>
      <c r="D45" s="224"/>
      <c r="E45" s="225"/>
      <c r="F45" s="226">
        <f t="shared" si="1"/>
        <v>0</v>
      </c>
      <c r="G45" s="224"/>
      <c r="H45" s="224"/>
      <c r="I45" s="227"/>
      <c r="J45" s="228">
        <f t="shared" si="2"/>
        <v>0</v>
      </c>
      <c r="K45" s="224"/>
      <c r="L45" s="224"/>
      <c r="M45" s="225"/>
      <c r="N45" s="226">
        <f t="shared" si="3"/>
        <v>0</v>
      </c>
      <c r="O45" s="224"/>
      <c r="P45" s="224"/>
      <c r="Q45" s="227"/>
      <c r="R45" s="229">
        <f t="shared" si="4"/>
        <v>0</v>
      </c>
      <c r="S45" s="224"/>
      <c r="T45" s="224">
        <f t="shared" si="5"/>
        <v>0</v>
      </c>
      <c r="U45" s="230" t="e">
        <f t="shared" si="6"/>
        <v>#DIV/0!</v>
      </c>
      <c r="V45" s="231"/>
    </row>
    <row r="46" spans="1:22" ht="22" customHeight="1" x14ac:dyDescent="0.25">
      <c r="A46" s="223" t="s">
        <v>254</v>
      </c>
      <c r="B46" s="214">
        <f t="shared" si="7"/>
        <v>0</v>
      </c>
      <c r="C46" s="224"/>
      <c r="D46" s="224"/>
      <c r="E46" s="225"/>
      <c r="F46" s="226">
        <f t="shared" si="1"/>
        <v>0</v>
      </c>
      <c r="G46" s="224"/>
      <c r="H46" s="224"/>
      <c r="I46" s="227"/>
      <c r="J46" s="228">
        <f t="shared" si="2"/>
        <v>0</v>
      </c>
      <c r="K46" s="224"/>
      <c r="L46" s="224"/>
      <c r="M46" s="225"/>
      <c r="N46" s="226">
        <f t="shared" si="3"/>
        <v>0</v>
      </c>
      <c r="O46" s="224"/>
      <c r="P46" s="224"/>
      <c r="Q46" s="227"/>
      <c r="R46" s="229">
        <f t="shared" si="4"/>
        <v>0</v>
      </c>
      <c r="S46" s="224"/>
      <c r="T46" s="224">
        <f t="shared" si="5"/>
        <v>0</v>
      </c>
      <c r="U46" s="230" t="e">
        <f t="shared" si="6"/>
        <v>#DIV/0!</v>
      </c>
      <c r="V46" s="231"/>
    </row>
    <row r="47" spans="1:22" ht="22" customHeight="1" x14ac:dyDescent="0.25">
      <c r="A47" s="223" t="s">
        <v>255</v>
      </c>
      <c r="B47" s="214">
        <f t="shared" si="7"/>
        <v>0</v>
      </c>
      <c r="C47" s="232"/>
      <c r="D47" s="232"/>
      <c r="E47" s="233"/>
      <c r="F47" s="226">
        <f t="shared" si="1"/>
        <v>0</v>
      </c>
      <c r="G47" s="232"/>
      <c r="H47" s="232"/>
      <c r="I47" s="234"/>
      <c r="J47" s="228">
        <f t="shared" si="2"/>
        <v>0</v>
      </c>
      <c r="K47" s="232"/>
      <c r="L47" s="232"/>
      <c r="M47" s="233"/>
      <c r="N47" s="226">
        <f t="shared" si="3"/>
        <v>0</v>
      </c>
      <c r="O47" s="232"/>
      <c r="P47" s="232"/>
      <c r="Q47" s="234"/>
      <c r="R47" s="229">
        <f t="shared" si="4"/>
        <v>0</v>
      </c>
      <c r="S47" s="232"/>
      <c r="T47" s="224">
        <f t="shared" si="5"/>
        <v>0</v>
      </c>
      <c r="U47" s="230" t="e">
        <f t="shared" si="6"/>
        <v>#DIV/0!</v>
      </c>
      <c r="V47" s="231"/>
    </row>
    <row r="48" spans="1:22" ht="22" customHeight="1" x14ac:dyDescent="0.25">
      <c r="A48" s="223" t="s">
        <v>256</v>
      </c>
      <c r="B48" s="214">
        <f t="shared" si="7"/>
        <v>0</v>
      </c>
      <c r="C48" s="224"/>
      <c r="D48" s="224"/>
      <c r="E48" s="225"/>
      <c r="F48" s="226">
        <f t="shared" si="1"/>
        <v>0</v>
      </c>
      <c r="G48" s="224"/>
      <c r="H48" s="224"/>
      <c r="I48" s="227"/>
      <c r="J48" s="228">
        <f t="shared" si="2"/>
        <v>0</v>
      </c>
      <c r="K48" s="224"/>
      <c r="L48" s="224"/>
      <c r="M48" s="225"/>
      <c r="N48" s="226">
        <f t="shared" si="3"/>
        <v>0</v>
      </c>
      <c r="O48" s="224"/>
      <c r="P48" s="224"/>
      <c r="Q48" s="227"/>
      <c r="R48" s="229">
        <f t="shared" si="4"/>
        <v>0</v>
      </c>
      <c r="S48" s="224"/>
      <c r="T48" s="224">
        <f t="shared" si="5"/>
        <v>0</v>
      </c>
      <c r="U48" s="230" t="e">
        <f t="shared" si="6"/>
        <v>#DIV/0!</v>
      </c>
      <c r="V48" s="231"/>
    </row>
    <row r="49" spans="1:22" ht="22" customHeight="1" x14ac:dyDescent="0.25">
      <c r="A49" s="223" t="s">
        <v>257</v>
      </c>
      <c r="B49" s="214">
        <f t="shared" si="7"/>
        <v>0</v>
      </c>
      <c r="C49" s="224"/>
      <c r="D49" s="224"/>
      <c r="E49" s="225"/>
      <c r="F49" s="226">
        <f t="shared" si="1"/>
        <v>0</v>
      </c>
      <c r="G49" s="224"/>
      <c r="H49" s="224"/>
      <c r="I49" s="227"/>
      <c r="J49" s="228">
        <f t="shared" si="2"/>
        <v>0</v>
      </c>
      <c r="K49" s="224"/>
      <c r="L49" s="224"/>
      <c r="M49" s="225"/>
      <c r="N49" s="226">
        <f t="shared" si="3"/>
        <v>0</v>
      </c>
      <c r="O49" s="224"/>
      <c r="P49" s="224"/>
      <c r="Q49" s="227"/>
      <c r="R49" s="229">
        <f t="shared" si="4"/>
        <v>0</v>
      </c>
      <c r="S49" s="224"/>
      <c r="T49" s="224">
        <f t="shared" si="5"/>
        <v>0</v>
      </c>
      <c r="U49" s="230" t="e">
        <f t="shared" si="6"/>
        <v>#DIV/0!</v>
      </c>
      <c r="V49" s="231"/>
    </row>
    <row r="50" spans="1:22" ht="22" customHeight="1" x14ac:dyDescent="0.25">
      <c r="A50" s="223" t="s">
        <v>258</v>
      </c>
      <c r="B50" s="214">
        <f t="shared" si="7"/>
        <v>0</v>
      </c>
      <c r="C50" s="224"/>
      <c r="D50" s="224"/>
      <c r="E50" s="225"/>
      <c r="F50" s="226">
        <f t="shared" si="1"/>
        <v>0</v>
      </c>
      <c r="G50" s="224"/>
      <c r="H50" s="224"/>
      <c r="I50" s="227"/>
      <c r="J50" s="228">
        <f t="shared" si="2"/>
        <v>0</v>
      </c>
      <c r="K50" s="224"/>
      <c r="L50" s="224"/>
      <c r="M50" s="225"/>
      <c r="N50" s="226">
        <f t="shared" si="3"/>
        <v>0</v>
      </c>
      <c r="O50" s="224"/>
      <c r="P50" s="224"/>
      <c r="Q50" s="227"/>
      <c r="R50" s="229">
        <f t="shared" si="4"/>
        <v>0</v>
      </c>
      <c r="S50" s="224"/>
      <c r="T50" s="224">
        <f t="shared" si="5"/>
        <v>0</v>
      </c>
      <c r="U50" s="230" t="e">
        <f t="shared" si="6"/>
        <v>#DIV/0!</v>
      </c>
      <c r="V50" s="231"/>
    </row>
    <row r="51" spans="1:22" ht="22" customHeight="1" x14ac:dyDescent="0.25">
      <c r="A51" s="223" t="s">
        <v>259</v>
      </c>
      <c r="B51" s="214">
        <f t="shared" si="7"/>
        <v>0</v>
      </c>
      <c r="C51" s="224"/>
      <c r="D51" s="224"/>
      <c r="E51" s="225"/>
      <c r="F51" s="226">
        <f t="shared" si="1"/>
        <v>0</v>
      </c>
      <c r="G51" s="224"/>
      <c r="H51" s="224"/>
      <c r="I51" s="227"/>
      <c r="J51" s="228">
        <f t="shared" si="2"/>
        <v>0</v>
      </c>
      <c r="K51" s="224"/>
      <c r="L51" s="224"/>
      <c r="M51" s="225"/>
      <c r="N51" s="226">
        <f t="shared" si="3"/>
        <v>0</v>
      </c>
      <c r="O51" s="224"/>
      <c r="P51" s="224"/>
      <c r="Q51" s="227"/>
      <c r="R51" s="229">
        <f t="shared" si="4"/>
        <v>0</v>
      </c>
      <c r="S51" s="224"/>
      <c r="T51" s="224">
        <f t="shared" si="5"/>
        <v>0</v>
      </c>
      <c r="U51" s="230" t="e">
        <f t="shared" si="6"/>
        <v>#DIV/0!</v>
      </c>
      <c r="V51" s="231"/>
    </row>
    <row r="52" spans="1:22" ht="22" customHeight="1" x14ac:dyDescent="0.25">
      <c r="A52" s="223" t="s">
        <v>260</v>
      </c>
      <c r="B52" s="214">
        <f t="shared" si="7"/>
        <v>0</v>
      </c>
      <c r="C52" s="224"/>
      <c r="D52" s="224"/>
      <c r="E52" s="225"/>
      <c r="F52" s="226">
        <f t="shared" si="1"/>
        <v>0</v>
      </c>
      <c r="G52" s="224"/>
      <c r="H52" s="224"/>
      <c r="I52" s="227"/>
      <c r="J52" s="228">
        <f t="shared" si="2"/>
        <v>0</v>
      </c>
      <c r="K52" s="224"/>
      <c r="L52" s="224"/>
      <c r="M52" s="225"/>
      <c r="N52" s="226">
        <f t="shared" si="3"/>
        <v>0</v>
      </c>
      <c r="O52" s="224"/>
      <c r="P52" s="224"/>
      <c r="Q52" s="227"/>
      <c r="R52" s="229">
        <f t="shared" si="4"/>
        <v>0</v>
      </c>
      <c r="S52" s="224"/>
      <c r="T52" s="224">
        <f t="shared" si="5"/>
        <v>0</v>
      </c>
      <c r="U52" s="230" t="e">
        <f t="shared" si="6"/>
        <v>#DIV/0!</v>
      </c>
      <c r="V52" s="231"/>
    </row>
    <row r="53" spans="1:22" ht="22" customHeight="1" x14ac:dyDescent="0.25">
      <c r="A53" s="223" t="s">
        <v>261</v>
      </c>
      <c r="B53" s="214">
        <f t="shared" si="7"/>
        <v>0</v>
      </c>
      <c r="C53" s="224"/>
      <c r="D53" s="224"/>
      <c r="E53" s="225"/>
      <c r="F53" s="226">
        <f t="shared" si="1"/>
        <v>0</v>
      </c>
      <c r="G53" s="224"/>
      <c r="H53" s="224"/>
      <c r="I53" s="227"/>
      <c r="J53" s="228">
        <f t="shared" si="2"/>
        <v>0</v>
      </c>
      <c r="K53" s="224"/>
      <c r="L53" s="224"/>
      <c r="M53" s="225"/>
      <c r="N53" s="226">
        <f t="shared" si="3"/>
        <v>0</v>
      </c>
      <c r="O53" s="224"/>
      <c r="P53" s="224"/>
      <c r="Q53" s="227"/>
      <c r="R53" s="229">
        <f t="shared" si="4"/>
        <v>0</v>
      </c>
      <c r="S53" s="237"/>
      <c r="T53" s="224">
        <f t="shared" si="5"/>
        <v>0</v>
      </c>
      <c r="U53" s="230" t="e">
        <f t="shared" si="6"/>
        <v>#DIV/0!</v>
      </c>
      <c r="V53" s="231"/>
    </row>
    <row r="54" spans="1:22" ht="22" customHeight="1" x14ac:dyDescent="0.25">
      <c r="A54" s="223" t="s">
        <v>262</v>
      </c>
      <c r="B54" s="214">
        <f t="shared" si="7"/>
        <v>0</v>
      </c>
      <c r="C54" s="224"/>
      <c r="D54" s="224"/>
      <c r="E54" s="225"/>
      <c r="F54" s="226">
        <f t="shared" si="1"/>
        <v>0</v>
      </c>
      <c r="G54" s="224"/>
      <c r="H54" s="224"/>
      <c r="I54" s="227"/>
      <c r="J54" s="228">
        <f t="shared" si="2"/>
        <v>0</v>
      </c>
      <c r="K54" s="224"/>
      <c r="L54" s="224"/>
      <c r="M54" s="225"/>
      <c r="N54" s="226">
        <f t="shared" si="3"/>
        <v>0</v>
      </c>
      <c r="O54" s="224"/>
      <c r="P54" s="224"/>
      <c r="Q54" s="227"/>
      <c r="R54" s="229">
        <f t="shared" si="4"/>
        <v>0</v>
      </c>
      <c r="S54" s="224"/>
      <c r="T54" s="224">
        <f t="shared" si="5"/>
        <v>0</v>
      </c>
      <c r="U54" s="230" t="e">
        <f t="shared" si="6"/>
        <v>#DIV/0!</v>
      </c>
      <c r="V54" s="231"/>
    </row>
    <row r="55" spans="1:22" ht="22" customHeight="1" x14ac:dyDescent="0.25">
      <c r="A55" s="223" t="s">
        <v>263</v>
      </c>
      <c r="B55" s="214">
        <f t="shared" si="7"/>
        <v>0</v>
      </c>
      <c r="C55" s="224"/>
      <c r="D55" s="224"/>
      <c r="E55" s="225"/>
      <c r="F55" s="226">
        <f t="shared" si="1"/>
        <v>0</v>
      </c>
      <c r="G55" s="224"/>
      <c r="H55" s="224"/>
      <c r="I55" s="227"/>
      <c r="J55" s="228">
        <f t="shared" si="2"/>
        <v>0</v>
      </c>
      <c r="K55" s="224"/>
      <c r="L55" s="224"/>
      <c r="M55" s="225"/>
      <c r="N55" s="226">
        <f t="shared" si="3"/>
        <v>0</v>
      </c>
      <c r="O55" s="224"/>
      <c r="P55" s="224"/>
      <c r="Q55" s="227"/>
      <c r="R55" s="229">
        <f t="shared" si="4"/>
        <v>0</v>
      </c>
      <c r="S55" s="224"/>
      <c r="T55" s="224">
        <f t="shared" si="5"/>
        <v>0</v>
      </c>
      <c r="U55" s="230" t="e">
        <f t="shared" si="6"/>
        <v>#DIV/0!</v>
      </c>
      <c r="V55" s="231"/>
    </row>
    <row r="56" spans="1:22" ht="22" customHeight="1" x14ac:dyDescent="0.25">
      <c r="A56" s="238" t="s">
        <v>109</v>
      </c>
      <c r="B56" s="239">
        <f t="shared" si="7"/>
        <v>0</v>
      </c>
      <c r="C56" s="240">
        <f>SUM(C6:C55)</f>
        <v>0</v>
      </c>
      <c r="D56" s="240">
        <f>SUM(D6:D55)</f>
        <v>0</v>
      </c>
      <c r="E56" s="241">
        <f>SUM(E6:E55)</f>
        <v>0</v>
      </c>
      <c r="F56" s="242">
        <f t="shared" si="1"/>
        <v>0</v>
      </c>
      <c r="G56" s="240">
        <f>SUM(G6:G55)</f>
        <v>0</v>
      </c>
      <c r="H56" s="240">
        <f>SUM(H6:H55)</f>
        <v>0</v>
      </c>
      <c r="I56" s="241">
        <f>SUM(I6:I55)</f>
        <v>0</v>
      </c>
      <c r="J56" s="242">
        <f t="shared" si="2"/>
        <v>0</v>
      </c>
      <c r="K56" s="240">
        <f>SUM(K6:K55)</f>
        <v>0</v>
      </c>
      <c r="L56" s="240">
        <f>SUM(L6:L55)</f>
        <v>0</v>
      </c>
      <c r="M56" s="240">
        <f>SUM(M6:M55)</f>
        <v>0</v>
      </c>
      <c r="N56" s="242">
        <f t="shared" si="3"/>
        <v>0</v>
      </c>
      <c r="O56" s="240">
        <f>SUM(O6:O55)</f>
        <v>0</v>
      </c>
      <c r="P56" s="243">
        <f>SUM(P6:P55)</f>
        <v>0</v>
      </c>
      <c r="Q56" s="240">
        <f>SUM(Q6:Q55)</f>
        <v>0</v>
      </c>
      <c r="R56" s="244">
        <f>SUM(R6:R55)</f>
        <v>0</v>
      </c>
      <c r="S56" s="240"/>
      <c r="T56" s="245">
        <f>SUM(T6:T55)</f>
        <v>0</v>
      </c>
      <c r="U56" s="246" t="e">
        <f t="shared" si="6"/>
        <v>#DIV/0!</v>
      </c>
      <c r="V56" s="247"/>
    </row>
    <row r="57" spans="1:22" s="205" customFormat="1" ht="22" customHeight="1" x14ac:dyDescent="0.4">
      <c r="A57" s="248" t="s">
        <v>187</v>
      </c>
      <c r="B57" s="249"/>
      <c r="C57" s="250"/>
      <c r="D57" s="250"/>
      <c r="E57" s="251"/>
      <c r="F57" s="249"/>
      <c r="G57" s="252"/>
      <c r="H57" s="252"/>
      <c r="I57" s="253"/>
      <c r="J57" s="254"/>
      <c r="K57" s="252"/>
      <c r="L57" s="252"/>
      <c r="M57" s="255"/>
      <c r="N57" s="249"/>
      <c r="O57" s="252"/>
      <c r="P57" s="252"/>
      <c r="Q57" s="253"/>
      <c r="R57" s="256">
        <f t="shared" ref="R57:R62" si="8">B57+F57+J57+N57</f>
        <v>0</v>
      </c>
      <c r="S57" s="252"/>
      <c r="T57" s="257">
        <f t="shared" ref="T57:T62" si="9">R57-S57</f>
        <v>0</v>
      </c>
      <c r="U57" s="258" t="e">
        <f t="shared" si="6"/>
        <v>#DIV/0!</v>
      </c>
      <c r="V57" s="259"/>
    </row>
    <row r="58" spans="1:22" s="205" customFormat="1" ht="22" customHeight="1" x14ac:dyDescent="0.4">
      <c r="A58" s="223" t="s">
        <v>264</v>
      </c>
      <c r="B58" s="226">
        <f>SUM(C58:E58)</f>
        <v>0</v>
      </c>
      <c r="C58" s="260"/>
      <c r="D58" s="260"/>
      <c r="E58" s="261"/>
      <c r="F58" s="226">
        <f>SUM(G58:I58)</f>
        <v>0</v>
      </c>
      <c r="G58" s="224"/>
      <c r="H58" s="224"/>
      <c r="I58" s="227"/>
      <c r="J58" s="228">
        <f>SUM(K58:M58)</f>
        <v>0</v>
      </c>
      <c r="K58" s="224"/>
      <c r="L58" s="224"/>
      <c r="M58" s="225"/>
      <c r="N58" s="226">
        <f>SUM(O58:Q58)</f>
        <v>0</v>
      </c>
      <c r="O58" s="224"/>
      <c r="P58" s="224"/>
      <c r="Q58" s="227"/>
      <c r="R58" s="229">
        <f t="shared" si="8"/>
        <v>0</v>
      </c>
      <c r="S58" s="224"/>
      <c r="T58" s="262">
        <f t="shared" si="9"/>
        <v>0</v>
      </c>
      <c r="U58" s="263" t="e">
        <f t="shared" si="6"/>
        <v>#DIV/0!</v>
      </c>
      <c r="V58" s="231"/>
    </row>
    <row r="59" spans="1:22" ht="28" customHeight="1" x14ac:dyDescent="0.4">
      <c r="A59" s="264" t="s">
        <v>265</v>
      </c>
      <c r="B59" s="226">
        <f>SUM(C59:E59)</f>
        <v>0</v>
      </c>
      <c r="C59" s="265"/>
      <c r="D59" s="265"/>
      <c r="E59" s="266"/>
      <c r="F59" s="226">
        <f>SUM(G59:I59)</f>
        <v>0</v>
      </c>
      <c r="G59" s="237"/>
      <c r="H59" s="237"/>
      <c r="I59" s="267"/>
      <c r="J59" s="228">
        <f>SUM(K59:M59)</f>
        <v>0</v>
      </c>
      <c r="K59" s="237"/>
      <c r="L59" s="237"/>
      <c r="M59" s="268"/>
      <c r="N59" s="226">
        <f>SUM(O59:Q59)</f>
        <v>0</v>
      </c>
      <c r="O59" s="237"/>
      <c r="P59" s="237"/>
      <c r="Q59" s="267"/>
      <c r="R59" s="229">
        <f t="shared" si="8"/>
        <v>0</v>
      </c>
      <c r="S59" s="237"/>
      <c r="T59" s="262">
        <f t="shared" si="9"/>
        <v>0</v>
      </c>
      <c r="U59" s="230" t="e">
        <f t="shared" si="6"/>
        <v>#DIV/0!</v>
      </c>
      <c r="V59" s="236"/>
    </row>
    <row r="60" spans="1:22" ht="31" customHeight="1" x14ac:dyDescent="0.4">
      <c r="A60" s="269" t="s">
        <v>266</v>
      </c>
      <c r="B60" s="226">
        <f>SUM(C60:E60)</f>
        <v>0</v>
      </c>
      <c r="C60" s="270"/>
      <c r="D60" s="270"/>
      <c r="E60" s="271"/>
      <c r="F60" s="226">
        <f>SUM(G60:I60)</f>
        <v>0</v>
      </c>
      <c r="G60" s="272"/>
      <c r="H60" s="272"/>
      <c r="I60" s="273"/>
      <c r="J60" s="228">
        <f>SUM(K60:M60)</f>
        <v>0</v>
      </c>
      <c r="K60" s="272"/>
      <c r="L60" s="272"/>
      <c r="M60" s="274"/>
      <c r="N60" s="226">
        <f>SUM(O60:Q60)</f>
        <v>0</v>
      </c>
      <c r="O60" s="272"/>
      <c r="P60" s="272"/>
      <c r="Q60" s="273"/>
      <c r="R60" s="229">
        <f t="shared" si="8"/>
        <v>0</v>
      </c>
      <c r="S60" s="275"/>
      <c r="T60" s="262">
        <f t="shared" si="9"/>
        <v>0</v>
      </c>
      <c r="U60" s="263" t="e">
        <f t="shared" si="6"/>
        <v>#DIV/0!</v>
      </c>
      <c r="V60" s="276"/>
    </row>
    <row r="61" spans="1:22" ht="31" customHeight="1" x14ac:dyDescent="0.4">
      <c r="A61" s="269" t="s">
        <v>267</v>
      </c>
      <c r="B61" s="226">
        <f>SUM(C61:E61)</f>
        <v>0</v>
      </c>
      <c r="C61" s="270"/>
      <c r="D61" s="270"/>
      <c r="E61" s="271"/>
      <c r="F61" s="226">
        <f>SUM(G61:I61)</f>
        <v>0</v>
      </c>
      <c r="G61" s="272"/>
      <c r="H61" s="272"/>
      <c r="I61" s="273"/>
      <c r="J61" s="228">
        <f>SUM(K61:M61)</f>
        <v>0</v>
      </c>
      <c r="K61" s="272"/>
      <c r="L61" s="272"/>
      <c r="M61" s="274"/>
      <c r="N61" s="226">
        <f>SUM(O61:Q61)</f>
        <v>0</v>
      </c>
      <c r="O61" s="272"/>
      <c r="P61" s="272"/>
      <c r="Q61" s="273"/>
      <c r="R61" s="229">
        <f t="shared" si="8"/>
        <v>0</v>
      </c>
      <c r="S61" s="275"/>
      <c r="T61" s="262">
        <f t="shared" si="9"/>
        <v>0</v>
      </c>
      <c r="U61" s="230" t="e">
        <f t="shared" si="6"/>
        <v>#DIV/0!</v>
      </c>
      <c r="V61" s="276"/>
    </row>
    <row r="62" spans="1:22" ht="22" customHeight="1" thickBot="1" x14ac:dyDescent="0.3">
      <c r="A62" s="277" t="s">
        <v>109</v>
      </c>
      <c r="B62" s="278">
        <f>SUM(C62:E62)</f>
        <v>0</v>
      </c>
      <c r="C62" s="278">
        <f>SUM(C58:C61)</f>
        <v>0</v>
      </c>
      <c r="D62" s="278">
        <f>SUM(D58:D61)</f>
        <v>0</v>
      </c>
      <c r="E62" s="279">
        <f>SUM(E58:E61)</f>
        <v>0</v>
      </c>
      <c r="F62" s="278">
        <f>SUM(G62:I62)</f>
        <v>0</v>
      </c>
      <c r="G62" s="278">
        <f t="shared" ref="G62:S62" si="10">SUM(G58:G61)</f>
        <v>0</v>
      </c>
      <c r="H62" s="278">
        <f t="shared" si="10"/>
        <v>0</v>
      </c>
      <c r="I62" s="280">
        <f t="shared" si="10"/>
        <v>0</v>
      </c>
      <c r="J62" s="281">
        <f>SUM(K62:M62)</f>
        <v>0</v>
      </c>
      <c r="K62" s="278">
        <f t="shared" si="10"/>
        <v>0</v>
      </c>
      <c r="L62" s="278">
        <f t="shared" si="10"/>
        <v>0</v>
      </c>
      <c r="M62" s="279">
        <f t="shared" si="10"/>
        <v>0</v>
      </c>
      <c r="N62" s="278">
        <f>SUM(O62:Q62)</f>
        <v>0</v>
      </c>
      <c r="O62" s="278">
        <f t="shared" si="10"/>
        <v>0</v>
      </c>
      <c r="P62" s="278">
        <f t="shared" si="10"/>
        <v>0</v>
      </c>
      <c r="Q62" s="280">
        <f t="shared" si="10"/>
        <v>0</v>
      </c>
      <c r="R62" s="282">
        <f t="shared" si="8"/>
        <v>0</v>
      </c>
      <c r="S62" s="278">
        <f t="shared" si="10"/>
        <v>0</v>
      </c>
      <c r="T62" s="283">
        <f t="shared" si="9"/>
        <v>0</v>
      </c>
      <c r="U62" s="284" t="e">
        <f t="shared" si="6"/>
        <v>#DIV/0!</v>
      </c>
      <c r="V62" s="285"/>
    </row>
    <row r="64" spans="1:22" ht="18" customHeight="1" x14ac:dyDescent="0.4">
      <c r="A64" s="286" t="s">
        <v>206</v>
      </c>
      <c r="B64" s="287"/>
      <c r="C64" s="288"/>
      <c r="D64" s="288"/>
      <c r="E64" s="288"/>
      <c r="F64" s="287"/>
      <c r="G64" s="287"/>
      <c r="H64" s="287"/>
      <c r="I64" s="287"/>
      <c r="J64" s="287"/>
      <c r="K64" s="287"/>
      <c r="L64" s="287"/>
      <c r="M64" s="287"/>
      <c r="N64" s="287"/>
      <c r="O64" s="287"/>
      <c r="P64" s="287"/>
      <c r="Q64" s="287"/>
      <c r="R64" s="288"/>
      <c r="S64" s="288"/>
      <c r="T64" s="288"/>
    </row>
    <row r="65" spans="1:20" ht="18" customHeight="1" x14ac:dyDescent="0.4">
      <c r="A65" s="477" t="s">
        <v>268</v>
      </c>
      <c r="B65" s="478"/>
      <c r="C65" s="477"/>
      <c r="D65" s="477"/>
      <c r="E65" s="477"/>
      <c r="F65" s="478"/>
      <c r="G65" s="478"/>
      <c r="H65" s="478"/>
      <c r="I65" s="478"/>
      <c r="J65" s="478"/>
      <c r="K65" s="478"/>
      <c r="L65" s="478"/>
      <c r="M65" s="478"/>
      <c r="N65" s="478"/>
      <c r="O65" s="478"/>
      <c r="P65" s="478"/>
      <c r="Q65" s="478"/>
      <c r="R65" s="477"/>
      <c r="S65" s="477"/>
      <c r="T65" s="477"/>
    </row>
    <row r="66" spans="1:20" ht="18" customHeight="1" x14ac:dyDescent="0.4">
      <c r="A66" s="286" t="s">
        <v>269</v>
      </c>
      <c r="B66" s="289"/>
      <c r="C66" s="290"/>
      <c r="D66" s="290"/>
      <c r="E66" s="290"/>
      <c r="F66" s="291"/>
      <c r="G66" s="289"/>
      <c r="H66" s="289"/>
      <c r="I66" s="289"/>
      <c r="J66" s="289"/>
      <c r="K66" s="289"/>
      <c r="L66" s="289"/>
      <c r="M66" s="289"/>
      <c r="N66" s="289"/>
      <c r="O66" s="289"/>
      <c r="P66" s="289"/>
      <c r="Q66" s="289"/>
      <c r="R66" s="290"/>
      <c r="S66" s="290"/>
      <c r="T66" s="290"/>
    </row>
    <row r="67" spans="1:20" ht="18" customHeight="1" x14ac:dyDescent="0.4">
      <c r="A67" s="286" t="s">
        <v>270</v>
      </c>
      <c r="B67" s="289"/>
      <c r="C67" s="290"/>
      <c r="D67" s="290"/>
      <c r="E67" s="290"/>
      <c r="F67" s="289"/>
      <c r="G67" s="289"/>
      <c r="H67" s="289"/>
      <c r="I67" s="289"/>
      <c r="J67" s="289"/>
      <c r="K67" s="289"/>
      <c r="L67" s="289"/>
      <c r="M67" s="289"/>
      <c r="N67" s="289"/>
      <c r="O67" s="289"/>
      <c r="P67" s="289"/>
      <c r="Q67" s="289"/>
      <c r="R67" s="290"/>
      <c r="S67" s="290"/>
      <c r="T67" s="290"/>
    </row>
  </sheetData>
  <mergeCells count="9">
    <mergeCell ref="A65:T65"/>
    <mergeCell ref="A1:V1"/>
    <mergeCell ref="A3:A4"/>
    <mergeCell ref="B3:Q3"/>
    <mergeCell ref="R3:R4"/>
    <mergeCell ref="S3:S4"/>
    <mergeCell ref="T3:T4"/>
    <mergeCell ref="U3:U4"/>
    <mergeCell ref="V3:V4"/>
  </mergeCells>
  <phoneticPr fontId="3" type="noConversion"/>
  <conditionalFormatting sqref="B4:Q58 S56 R3 R5:R62 B59:B61 F59:F61 J59:J61 N59:N61">
    <cfRule type="cellIs" dxfId="0" priority="1" operator="equal">
      <formula>"手动调整"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7"/>
  <sheetViews>
    <sheetView showGridLines="0" workbookViewId="0">
      <selection activeCell="F14" sqref="F14"/>
    </sheetView>
  </sheetViews>
  <sheetFormatPr defaultColWidth="9.453125" defaultRowHeight="14" x14ac:dyDescent="0.25"/>
  <cols>
    <col min="1" max="1" width="19.453125" style="206" customWidth="1"/>
    <col min="2" max="2" width="12.36328125" style="206" customWidth="1"/>
    <col min="3" max="20" width="9.453125" style="206"/>
    <col min="21" max="21" width="14.6328125" style="206" customWidth="1"/>
    <col min="22" max="16384" width="9.453125" style="206"/>
  </cols>
  <sheetData>
    <row r="1" spans="1:30" ht="25.5" customHeight="1" x14ac:dyDescent="0.25">
      <c r="A1" s="461" t="s">
        <v>271</v>
      </c>
      <c r="B1" s="461"/>
      <c r="C1" s="461"/>
      <c r="D1" s="461"/>
      <c r="E1" s="461"/>
      <c r="F1" s="461"/>
      <c r="G1" s="461"/>
      <c r="H1" s="461"/>
      <c r="I1" s="461"/>
      <c r="J1" s="461"/>
      <c r="K1" s="461"/>
      <c r="L1" s="461"/>
      <c r="M1" s="461"/>
      <c r="N1" s="461"/>
      <c r="O1" s="461"/>
      <c r="P1" s="461"/>
      <c r="Q1" s="461"/>
      <c r="R1" s="461"/>
      <c r="S1" s="461"/>
      <c r="T1" s="461"/>
      <c r="U1" s="461"/>
      <c r="V1" s="293"/>
      <c r="W1" s="293"/>
      <c r="X1" s="293"/>
      <c r="Y1" s="293"/>
      <c r="Z1" s="293"/>
      <c r="AA1" s="293"/>
      <c r="AB1" s="293"/>
      <c r="AC1" s="293"/>
      <c r="AD1" s="293"/>
    </row>
    <row r="2" spans="1:30" s="44" customFormat="1" ht="15" thickBot="1" x14ac:dyDescent="0.3">
      <c r="A2" s="44" t="s">
        <v>1</v>
      </c>
      <c r="H2" s="44" t="s">
        <v>2</v>
      </c>
      <c r="S2" s="44" t="s">
        <v>3</v>
      </c>
    </row>
    <row r="3" spans="1:30" s="294" customFormat="1" ht="20" customHeight="1" x14ac:dyDescent="0.25">
      <c r="A3" s="493" t="s">
        <v>272</v>
      </c>
      <c r="B3" s="472" t="s">
        <v>273</v>
      </c>
      <c r="C3" s="466" t="s">
        <v>274</v>
      </c>
      <c r="D3" s="464" t="s">
        <v>275</v>
      </c>
      <c r="E3" s="472"/>
      <c r="F3" s="472"/>
      <c r="G3" s="472"/>
      <c r="H3" s="472"/>
      <c r="I3" s="472"/>
      <c r="J3" s="472"/>
      <c r="K3" s="472"/>
      <c r="L3" s="472"/>
      <c r="M3" s="472"/>
      <c r="N3" s="472"/>
      <c r="O3" s="472"/>
      <c r="P3" s="472"/>
      <c r="Q3" s="472"/>
      <c r="R3" s="472"/>
      <c r="S3" s="472"/>
      <c r="T3" s="472"/>
      <c r="U3" s="488" t="s">
        <v>81</v>
      </c>
    </row>
    <row r="4" spans="1:30" s="294" customFormat="1" ht="20" customHeight="1" thickBot="1" x14ac:dyDescent="0.3">
      <c r="A4" s="494"/>
      <c r="B4" s="473"/>
      <c r="C4" s="467"/>
      <c r="D4" s="208" t="s">
        <v>276</v>
      </c>
      <c r="E4" s="209" t="s">
        <v>83</v>
      </c>
      <c r="F4" s="209" t="s">
        <v>84</v>
      </c>
      <c r="G4" s="211" t="s">
        <v>85</v>
      </c>
      <c r="H4" s="212" t="s">
        <v>277</v>
      </c>
      <c r="I4" s="209" t="s">
        <v>87</v>
      </c>
      <c r="J4" s="209" t="s">
        <v>88</v>
      </c>
      <c r="K4" s="210" t="s">
        <v>89</v>
      </c>
      <c r="L4" s="208" t="s">
        <v>278</v>
      </c>
      <c r="M4" s="209" t="s">
        <v>91</v>
      </c>
      <c r="N4" s="209" t="s">
        <v>92</v>
      </c>
      <c r="O4" s="211" t="s">
        <v>93</v>
      </c>
      <c r="P4" s="212" t="s">
        <v>279</v>
      </c>
      <c r="Q4" s="209" t="s">
        <v>95</v>
      </c>
      <c r="R4" s="209" t="s">
        <v>96</v>
      </c>
      <c r="S4" s="210" t="s">
        <v>97</v>
      </c>
      <c r="T4" s="295" t="s">
        <v>22</v>
      </c>
      <c r="U4" s="489"/>
    </row>
    <row r="5" spans="1:30" s="308" customFormat="1" ht="20" customHeight="1" thickTop="1" x14ac:dyDescent="0.4">
      <c r="A5" s="296" t="s">
        <v>280</v>
      </c>
      <c r="B5" s="297" t="s">
        <v>281</v>
      </c>
      <c r="C5" s="298">
        <v>0.05</v>
      </c>
      <c r="D5" s="299">
        <f>SUM(E5:G5)</f>
        <v>0</v>
      </c>
      <c r="E5" s="300"/>
      <c r="F5" s="300"/>
      <c r="G5" s="301"/>
      <c r="H5" s="302">
        <f>SUM(I5:K5)</f>
        <v>0</v>
      </c>
      <c r="I5" s="300"/>
      <c r="J5" s="300"/>
      <c r="K5" s="303"/>
      <c r="L5" s="299">
        <f>SUM(M5:O5)</f>
        <v>0</v>
      </c>
      <c r="M5" s="300"/>
      <c r="N5" s="300"/>
      <c r="O5" s="301"/>
      <c r="P5" s="302">
        <f>SUM(Q5:S5)</f>
        <v>0</v>
      </c>
      <c r="Q5" s="304"/>
      <c r="R5" s="304"/>
      <c r="S5" s="305"/>
      <c r="T5" s="306">
        <f>D5+H5+L5+P5</f>
        <v>0</v>
      </c>
      <c r="U5" s="307"/>
    </row>
    <row r="6" spans="1:30" s="308" customFormat="1" ht="20" customHeight="1" x14ac:dyDescent="0.4">
      <c r="A6" s="309" t="s">
        <v>282</v>
      </c>
      <c r="B6" s="310" t="s">
        <v>283</v>
      </c>
      <c r="C6" s="311">
        <v>7.0000000000000007E-2</v>
      </c>
      <c r="D6" s="299">
        <f t="shared" ref="D6:D15" si="0">SUM(E6:G6)</f>
        <v>0</v>
      </c>
      <c r="E6" s="312"/>
      <c r="F6" s="312"/>
      <c r="G6" s="313"/>
      <c r="H6" s="302">
        <f t="shared" ref="H6:H15" si="1">SUM(I6:K6)</f>
        <v>0</v>
      </c>
      <c r="I6" s="312"/>
      <c r="J6" s="312"/>
      <c r="K6" s="314"/>
      <c r="L6" s="299">
        <f t="shared" ref="L6:L15" si="2">SUM(M6:O6)</f>
        <v>0</v>
      </c>
      <c r="M6" s="312"/>
      <c r="N6" s="312"/>
      <c r="O6" s="313"/>
      <c r="P6" s="302">
        <f t="shared" ref="P6:P15" si="3">SUM(Q6:S6)</f>
        <v>0</v>
      </c>
      <c r="Q6" s="315"/>
      <c r="R6" s="315"/>
      <c r="S6" s="316"/>
      <c r="T6" s="306">
        <f t="shared" ref="T6:T15" si="4">D6+H6+L6+P6</f>
        <v>0</v>
      </c>
      <c r="U6" s="317"/>
    </row>
    <row r="7" spans="1:30" s="308" customFormat="1" ht="20" customHeight="1" x14ac:dyDescent="0.4">
      <c r="A7" s="309" t="s">
        <v>284</v>
      </c>
      <c r="B7" s="310" t="s">
        <v>283</v>
      </c>
      <c r="C7" s="311">
        <v>0.03</v>
      </c>
      <c r="D7" s="299">
        <f t="shared" si="0"/>
        <v>0</v>
      </c>
      <c r="E7" s="312"/>
      <c r="F7" s="312"/>
      <c r="G7" s="313"/>
      <c r="H7" s="302">
        <f t="shared" si="1"/>
        <v>0</v>
      </c>
      <c r="I7" s="312"/>
      <c r="J7" s="312"/>
      <c r="K7" s="314"/>
      <c r="L7" s="299">
        <f t="shared" si="2"/>
        <v>0</v>
      </c>
      <c r="M7" s="312"/>
      <c r="N7" s="312"/>
      <c r="O7" s="313"/>
      <c r="P7" s="302">
        <f t="shared" si="3"/>
        <v>0</v>
      </c>
      <c r="Q7" s="315"/>
      <c r="R7" s="315"/>
      <c r="S7" s="316"/>
      <c r="T7" s="306">
        <f t="shared" si="4"/>
        <v>0</v>
      </c>
      <c r="U7" s="317"/>
    </row>
    <row r="8" spans="1:30" s="308" customFormat="1" ht="20" customHeight="1" x14ac:dyDescent="0.4">
      <c r="A8" s="309" t="s">
        <v>285</v>
      </c>
      <c r="B8" s="310" t="s">
        <v>283</v>
      </c>
      <c r="C8" s="311">
        <v>0.02</v>
      </c>
      <c r="D8" s="299">
        <f t="shared" si="0"/>
        <v>0</v>
      </c>
      <c r="E8" s="312"/>
      <c r="F8" s="312"/>
      <c r="G8" s="313"/>
      <c r="H8" s="302">
        <f t="shared" si="1"/>
        <v>0</v>
      </c>
      <c r="I8" s="312"/>
      <c r="J8" s="312"/>
      <c r="K8" s="314"/>
      <c r="L8" s="299">
        <f t="shared" si="2"/>
        <v>0</v>
      </c>
      <c r="M8" s="312"/>
      <c r="N8" s="312"/>
      <c r="O8" s="313"/>
      <c r="P8" s="302">
        <f t="shared" si="3"/>
        <v>0</v>
      </c>
      <c r="Q8" s="315"/>
      <c r="R8" s="315"/>
      <c r="S8" s="316"/>
      <c r="T8" s="306">
        <f t="shared" si="4"/>
        <v>0</v>
      </c>
      <c r="U8" s="317"/>
    </row>
    <row r="9" spans="1:30" s="308" customFormat="1" ht="20" customHeight="1" x14ac:dyDescent="0.4">
      <c r="A9" s="309" t="s">
        <v>286</v>
      </c>
      <c r="B9" s="318" t="s">
        <v>281</v>
      </c>
      <c r="C9" s="319">
        <v>1E-3</v>
      </c>
      <c r="D9" s="299">
        <f t="shared" si="0"/>
        <v>0</v>
      </c>
      <c r="E9" s="312"/>
      <c r="F9" s="312"/>
      <c r="G9" s="313"/>
      <c r="H9" s="302">
        <f t="shared" si="1"/>
        <v>0</v>
      </c>
      <c r="I9" s="312"/>
      <c r="J9" s="312"/>
      <c r="K9" s="314"/>
      <c r="L9" s="299">
        <f t="shared" si="2"/>
        <v>0</v>
      </c>
      <c r="M9" s="312"/>
      <c r="N9" s="312"/>
      <c r="O9" s="313"/>
      <c r="P9" s="302">
        <f t="shared" si="3"/>
        <v>0</v>
      </c>
      <c r="Q9" s="315"/>
      <c r="R9" s="315"/>
      <c r="S9" s="316"/>
      <c r="T9" s="306">
        <f t="shared" si="4"/>
        <v>0</v>
      </c>
      <c r="U9" s="317"/>
    </row>
    <row r="10" spans="1:30" s="308" customFormat="1" ht="20" customHeight="1" x14ac:dyDescent="0.4">
      <c r="A10" s="309" t="s">
        <v>287</v>
      </c>
      <c r="B10" s="318" t="s">
        <v>281</v>
      </c>
      <c r="C10" s="311">
        <v>0.03</v>
      </c>
      <c r="D10" s="299">
        <f t="shared" si="0"/>
        <v>0</v>
      </c>
      <c r="E10" s="312"/>
      <c r="F10" s="312"/>
      <c r="G10" s="313"/>
      <c r="H10" s="302">
        <f t="shared" si="1"/>
        <v>0</v>
      </c>
      <c r="I10" s="312"/>
      <c r="J10" s="312"/>
      <c r="K10" s="314"/>
      <c r="L10" s="299">
        <f t="shared" si="2"/>
        <v>0</v>
      </c>
      <c r="M10" s="312"/>
      <c r="N10" s="312"/>
      <c r="O10" s="313"/>
      <c r="P10" s="302">
        <f t="shared" si="3"/>
        <v>0</v>
      </c>
      <c r="Q10" s="315"/>
      <c r="R10" s="315"/>
      <c r="S10" s="316"/>
      <c r="T10" s="306">
        <f t="shared" si="4"/>
        <v>0</v>
      </c>
      <c r="U10" s="317"/>
    </row>
    <row r="11" spans="1:30" s="308" customFormat="1" ht="20" customHeight="1" x14ac:dyDescent="0.4">
      <c r="A11" s="309" t="s">
        <v>288</v>
      </c>
      <c r="B11" s="318" t="s">
        <v>289</v>
      </c>
      <c r="C11" s="311"/>
      <c r="D11" s="299">
        <f t="shared" si="0"/>
        <v>0</v>
      </c>
      <c r="E11" s="312"/>
      <c r="F11" s="312"/>
      <c r="G11" s="313"/>
      <c r="H11" s="302">
        <f t="shared" si="1"/>
        <v>0</v>
      </c>
      <c r="I11" s="312"/>
      <c r="J11" s="312"/>
      <c r="K11" s="314"/>
      <c r="L11" s="299">
        <f t="shared" si="2"/>
        <v>0</v>
      </c>
      <c r="M11" s="312"/>
      <c r="N11" s="312"/>
      <c r="O11" s="313"/>
      <c r="P11" s="302">
        <f t="shared" si="3"/>
        <v>0</v>
      </c>
      <c r="Q11" s="315"/>
      <c r="R11" s="315"/>
      <c r="S11" s="316"/>
      <c r="T11" s="306">
        <f t="shared" si="4"/>
        <v>0</v>
      </c>
      <c r="U11" s="317"/>
    </row>
    <row r="12" spans="1:30" s="308" customFormat="1" ht="20" customHeight="1" x14ac:dyDescent="0.4">
      <c r="A12" s="309" t="s">
        <v>290</v>
      </c>
      <c r="B12" s="318"/>
      <c r="C12" s="311">
        <v>0.25</v>
      </c>
      <c r="D12" s="299">
        <f t="shared" si="0"/>
        <v>0</v>
      </c>
      <c r="E12" s="312"/>
      <c r="F12" s="312"/>
      <c r="G12" s="313"/>
      <c r="H12" s="302">
        <f t="shared" si="1"/>
        <v>0</v>
      </c>
      <c r="I12" s="312"/>
      <c r="J12" s="312"/>
      <c r="K12" s="314"/>
      <c r="L12" s="299">
        <f t="shared" si="2"/>
        <v>0</v>
      </c>
      <c r="M12" s="312"/>
      <c r="N12" s="312"/>
      <c r="O12" s="313"/>
      <c r="P12" s="302">
        <f t="shared" si="3"/>
        <v>0</v>
      </c>
      <c r="Q12" s="315"/>
      <c r="R12" s="315"/>
      <c r="S12" s="316"/>
      <c r="T12" s="306">
        <f t="shared" si="4"/>
        <v>0</v>
      </c>
      <c r="U12" s="317"/>
    </row>
    <row r="13" spans="1:30" s="308" customFormat="1" ht="20" customHeight="1" x14ac:dyDescent="0.4">
      <c r="A13" s="309" t="s">
        <v>291</v>
      </c>
      <c r="B13" s="318"/>
      <c r="C13" s="311"/>
      <c r="D13" s="299">
        <f t="shared" si="0"/>
        <v>0</v>
      </c>
      <c r="E13" s="312"/>
      <c r="F13" s="312"/>
      <c r="G13" s="313"/>
      <c r="H13" s="302">
        <f t="shared" si="1"/>
        <v>0</v>
      </c>
      <c r="I13" s="312"/>
      <c r="J13" s="312"/>
      <c r="K13" s="314"/>
      <c r="L13" s="299">
        <f t="shared" si="2"/>
        <v>0</v>
      </c>
      <c r="M13" s="312"/>
      <c r="N13" s="312"/>
      <c r="O13" s="313"/>
      <c r="P13" s="302">
        <f t="shared" si="3"/>
        <v>0</v>
      </c>
      <c r="Q13" s="315"/>
      <c r="R13" s="315"/>
      <c r="S13" s="316"/>
      <c r="T13" s="306">
        <f t="shared" si="4"/>
        <v>0</v>
      </c>
      <c r="U13" s="317"/>
    </row>
    <row r="14" spans="1:30" s="308" customFormat="1" ht="20" customHeight="1" x14ac:dyDescent="0.4">
      <c r="A14" s="309" t="s">
        <v>137</v>
      </c>
      <c r="B14" s="310"/>
      <c r="C14" s="311"/>
      <c r="D14" s="299">
        <f t="shared" si="0"/>
        <v>0</v>
      </c>
      <c r="E14" s="312"/>
      <c r="F14" s="312"/>
      <c r="G14" s="313"/>
      <c r="H14" s="302">
        <f t="shared" si="1"/>
        <v>0</v>
      </c>
      <c r="I14" s="312"/>
      <c r="J14" s="312"/>
      <c r="K14" s="314"/>
      <c r="L14" s="299">
        <f t="shared" si="2"/>
        <v>0</v>
      </c>
      <c r="M14" s="312"/>
      <c r="N14" s="312"/>
      <c r="O14" s="313"/>
      <c r="P14" s="302">
        <f t="shared" si="3"/>
        <v>0</v>
      </c>
      <c r="Q14" s="315"/>
      <c r="R14" s="315"/>
      <c r="S14" s="316"/>
      <c r="T14" s="306">
        <f t="shared" si="4"/>
        <v>0</v>
      </c>
      <c r="U14" s="317"/>
    </row>
    <row r="15" spans="1:30" s="326" customFormat="1" ht="20" customHeight="1" thickBot="1" x14ac:dyDescent="0.3">
      <c r="A15" s="490" t="s">
        <v>292</v>
      </c>
      <c r="B15" s="491"/>
      <c r="C15" s="492"/>
      <c r="D15" s="320">
        <f t="shared" si="0"/>
        <v>0</v>
      </c>
      <c r="E15" s="321">
        <f>SUM(E5:E14)</f>
        <v>0</v>
      </c>
      <c r="F15" s="321">
        <f>SUM(F5:F14)</f>
        <v>0</v>
      </c>
      <c r="G15" s="322">
        <f>SUM(G5:G14)</f>
        <v>0</v>
      </c>
      <c r="H15" s="323">
        <f t="shared" si="1"/>
        <v>0</v>
      </c>
      <c r="I15" s="321">
        <f>SUM(I5:I14)</f>
        <v>0</v>
      </c>
      <c r="J15" s="321">
        <f>SUM(J5:J14)</f>
        <v>0</v>
      </c>
      <c r="K15" s="322">
        <f>SUM(K5:K14)</f>
        <v>0</v>
      </c>
      <c r="L15" s="324">
        <f t="shared" si="2"/>
        <v>0</v>
      </c>
      <c r="M15" s="321">
        <f t="shared" ref="M15:S15" si="5">SUM(M5:M14)</f>
        <v>0</v>
      </c>
      <c r="N15" s="321">
        <f t="shared" si="5"/>
        <v>0</v>
      </c>
      <c r="O15" s="322">
        <f t="shared" si="5"/>
        <v>0</v>
      </c>
      <c r="P15" s="324">
        <f t="shared" si="3"/>
        <v>0</v>
      </c>
      <c r="Q15" s="321">
        <f t="shared" si="5"/>
        <v>0</v>
      </c>
      <c r="R15" s="321">
        <f t="shared" si="5"/>
        <v>0</v>
      </c>
      <c r="S15" s="321">
        <f t="shared" si="5"/>
        <v>0</v>
      </c>
      <c r="T15" s="321">
        <f t="shared" si="4"/>
        <v>0</v>
      </c>
      <c r="U15" s="325"/>
    </row>
    <row r="17" spans="1:1" ht="15.5" x14ac:dyDescent="0.4">
      <c r="A17" s="205" t="s">
        <v>293</v>
      </c>
    </row>
  </sheetData>
  <mergeCells count="7">
    <mergeCell ref="A15:C15"/>
    <mergeCell ref="A1:U1"/>
    <mergeCell ref="A3:A4"/>
    <mergeCell ref="B3:B4"/>
    <mergeCell ref="C3:C4"/>
    <mergeCell ref="D3:T3"/>
    <mergeCell ref="U3:U4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V30"/>
  <sheetViews>
    <sheetView showGridLines="0" topLeftCell="A4" workbookViewId="0">
      <selection activeCell="G18" sqref="G18"/>
    </sheetView>
  </sheetViews>
  <sheetFormatPr defaultRowHeight="14" x14ac:dyDescent="0.25"/>
  <cols>
    <col min="1" max="1" width="18.1796875" customWidth="1"/>
    <col min="2" max="2" width="11.08984375" customWidth="1"/>
    <col min="3" max="3" width="11.26953125" customWidth="1"/>
    <col min="4" max="4" width="13.90625" customWidth="1"/>
    <col min="22" max="22" width="11.54296875" customWidth="1"/>
  </cols>
  <sheetData>
    <row r="2" spans="1:22" ht="24" x14ac:dyDescent="0.4">
      <c r="A2" s="460" t="s">
        <v>294</v>
      </c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  <c r="O2" s="495"/>
      <c r="P2" s="495"/>
      <c r="Q2" s="495"/>
      <c r="R2" s="495"/>
      <c r="S2" s="495"/>
      <c r="T2" s="495"/>
      <c r="U2" s="495"/>
      <c r="V2" s="495"/>
    </row>
    <row r="3" spans="1:22" ht="19.5" customHeight="1" thickBot="1" x14ac:dyDescent="0.3">
      <c r="A3" s="44" t="s">
        <v>1</v>
      </c>
      <c r="B3" s="44"/>
      <c r="C3" s="44"/>
      <c r="D3" s="44"/>
      <c r="E3" s="44"/>
      <c r="F3" s="44"/>
      <c r="G3" s="44"/>
      <c r="H3" s="44"/>
      <c r="I3" s="44" t="s">
        <v>2</v>
      </c>
      <c r="J3" s="44"/>
      <c r="K3" s="44"/>
      <c r="L3" s="44"/>
      <c r="M3" s="44"/>
      <c r="N3" s="44"/>
      <c r="O3" s="44"/>
      <c r="P3" s="44"/>
      <c r="Q3" s="44" t="s">
        <v>3</v>
      </c>
      <c r="R3" s="44"/>
      <c r="S3" s="44"/>
      <c r="T3" s="44"/>
      <c r="U3" s="44"/>
      <c r="V3" s="44"/>
    </row>
    <row r="4" spans="1:22" ht="20" customHeight="1" x14ac:dyDescent="0.25">
      <c r="A4" s="496" t="s">
        <v>295</v>
      </c>
      <c r="B4" s="472" t="s">
        <v>296</v>
      </c>
      <c r="C4" s="472" t="s">
        <v>297</v>
      </c>
      <c r="D4" s="466" t="s">
        <v>298</v>
      </c>
      <c r="E4" s="498" t="s">
        <v>299</v>
      </c>
      <c r="F4" s="498"/>
      <c r="G4" s="498"/>
      <c r="H4" s="498"/>
      <c r="I4" s="498"/>
      <c r="J4" s="498"/>
      <c r="K4" s="498"/>
      <c r="L4" s="498"/>
      <c r="M4" s="498"/>
      <c r="N4" s="498"/>
      <c r="O4" s="498"/>
      <c r="P4" s="498"/>
      <c r="Q4" s="498"/>
      <c r="R4" s="498"/>
      <c r="S4" s="498"/>
      <c r="T4" s="498"/>
      <c r="U4" s="499" t="s">
        <v>98</v>
      </c>
      <c r="V4" s="488" t="s">
        <v>81</v>
      </c>
    </row>
    <row r="5" spans="1:22" ht="20" customHeight="1" thickBot="1" x14ac:dyDescent="0.3">
      <c r="A5" s="497"/>
      <c r="B5" s="473"/>
      <c r="C5" s="473"/>
      <c r="D5" s="467"/>
      <c r="E5" s="208" t="s">
        <v>276</v>
      </c>
      <c r="F5" s="209" t="s">
        <v>83</v>
      </c>
      <c r="G5" s="209" t="s">
        <v>84</v>
      </c>
      <c r="H5" s="211" t="s">
        <v>85</v>
      </c>
      <c r="I5" s="212" t="s">
        <v>277</v>
      </c>
      <c r="J5" s="209" t="s">
        <v>87</v>
      </c>
      <c r="K5" s="209" t="s">
        <v>88</v>
      </c>
      <c r="L5" s="210" t="s">
        <v>89</v>
      </c>
      <c r="M5" s="208" t="s">
        <v>278</v>
      </c>
      <c r="N5" s="209" t="s">
        <v>91</v>
      </c>
      <c r="O5" s="209" t="s">
        <v>92</v>
      </c>
      <c r="P5" s="211" t="s">
        <v>93</v>
      </c>
      <c r="Q5" s="212" t="s">
        <v>279</v>
      </c>
      <c r="R5" s="209" t="s">
        <v>95</v>
      </c>
      <c r="S5" s="209" t="s">
        <v>96</v>
      </c>
      <c r="T5" s="211" t="s">
        <v>97</v>
      </c>
      <c r="U5" s="500"/>
      <c r="V5" s="489"/>
    </row>
    <row r="6" spans="1:22" ht="20" customHeight="1" thickTop="1" x14ac:dyDescent="0.4">
      <c r="A6" s="327" t="s">
        <v>300</v>
      </c>
      <c r="B6" s="328"/>
      <c r="C6" s="328"/>
      <c r="D6" s="329"/>
      <c r="E6" s="330">
        <f>SUM(F6:H6)</f>
        <v>0</v>
      </c>
      <c r="F6" s="331"/>
      <c r="G6" s="331"/>
      <c r="H6" s="332"/>
      <c r="I6" s="333">
        <f>SUM(J6:L6)</f>
        <v>0</v>
      </c>
      <c r="J6" s="334"/>
      <c r="K6" s="334"/>
      <c r="L6" s="335"/>
      <c r="M6" s="330">
        <f>SUM(N6:P6)</f>
        <v>0</v>
      </c>
      <c r="N6" s="331"/>
      <c r="O6" s="331"/>
      <c r="P6" s="332"/>
      <c r="Q6" s="333">
        <f>SUM(R6:T6)</f>
        <v>0</v>
      </c>
      <c r="R6" s="334"/>
      <c r="S6" s="334"/>
      <c r="T6" s="335"/>
      <c r="U6" s="336">
        <f>E6+I6+M6+Q6</f>
        <v>0</v>
      </c>
      <c r="V6" s="337"/>
    </row>
    <row r="7" spans="1:22" ht="20" customHeight="1" x14ac:dyDescent="0.4">
      <c r="A7" s="338" t="s">
        <v>301</v>
      </c>
      <c r="B7" s="339"/>
      <c r="C7" s="339"/>
      <c r="D7" s="340"/>
      <c r="E7" s="330">
        <f t="shared" ref="E7:E13" si="0">SUM(F7:H7)</f>
        <v>0</v>
      </c>
      <c r="F7" s="341"/>
      <c r="G7" s="341"/>
      <c r="H7" s="342"/>
      <c r="I7" s="333">
        <f t="shared" ref="I7:I13" si="1">SUM(J7:L7)</f>
        <v>0</v>
      </c>
      <c r="J7" s="343"/>
      <c r="K7" s="343"/>
      <c r="L7" s="344"/>
      <c r="M7" s="330">
        <f t="shared" ref="M7:M13" si="2">SUM(N7:P7)</f>
        <v>0</v>
      </c>
      <c r="N7" s="341"/>
      <c r="O7" s="341"/>
      <c r="P7" s="342"/>
      <c r="Q7" s="333">
        <f t="shared" ref="Q7:Q13" si="3">SUM(R7:T7)</f>
        <v>0</v>
      </c>
      <c r="R7" s="343"/>
      <c r="S7" s="343"/>
      <c r="T7" s="344"/>
      <c r="U7" s="336">
        <f t="shared" ref="U7:U13" si="4">E7+I7+M7+Q7</f>
        <v>0</v>
      </c>
      <c r="V7" s="345"/>
    </row>
    <row r="8" spans="1:22" ht="20" customHeight="1" x14ac:dyDescent="0.4">
      <c r="A8" s="346" t="s">
        <v>302</v>
      </c>
      <c r="B8" s="339"/>
      <c r="C8" s="339"/>
      <c r="D8" s="340"/>
      <c r="E8" s="330">
        <f t="shared" si="0"/>
        <v>0</v>
      </c>
      <c r="F8" s="341"/>
      <c r="G8" s="341"/>
      <c r="H8" s="342"/>
      <c r="I8" s="333">
        <f t="shared" si="1"/>
        <v>0</v>
      </c>
      <c r="J8" s="343"/>
      <c r="K8" s="343"/>
      <c r="L8" s="344"/>
      <c r="M8" s="330">
        <f t="shared" si="2"/>
        <v>0</v>
      </c>
      <c r="N8" s="341"/>
      <c r="O8" s="341"/>
      <c r="P8" s="342"/>
      <c r="Q8" s="333">
        <f t="shared" si="3"/>
        <v>0</v>
      </c>
      <c r="R8" s="343"/>
      <c r="S8" s="343"/>
      <c r="T8" s="344"/>
      <c r="U8" s="336">
        <f t="shared" si="4"/>
        <v>0</v>
      </c>
      <c r="V8" s="345"/>
    </row>
    <row r="9" spans="1:22" ht="20" customHeight="1" x14ac:dyDescent="0.4">
      <c r="A9" s="346" t="s">
        <v>303</v>
      </c>
      <c r="B9" s="339"/>
      <c r="C9" s="339"/>
      <c r="D9" s="340"/>
      <c r="E9" s="330">
        <f t="shared" si="0"/>
        <v>0</v>
      </c>
      <c r="F9" s="341"/>
      <c r="G9" s="341"/>
      <c r="H9" s="342"/>
      <c r="I9" s="333">
        <f t="shared" si="1"/>
        <v>0</v>
      </c>
      <c r="J9" s="343"/>
      <c r="K9" s="343"/>
      <c r="L9" s="344"/>
      <c r="M9" s="330">
        <f t="shared" si="2"/>
        <v>0</v>
      </c>
      <c r="N9" s="341"/>
      <c r="O9" s="341"/>
      <c r="P9" s="342"/>
      <c r="Q9" s="333">
        <f t="shared" si="3"/>
        <v>0</v>
      </c>
      <c r="R9" s="343"/>
      <c r="S9" s="343"/>
      <c r="T9" s="344"/>
      <c r="U9" s="336">
        <f t="shared" si="4"/>
        <v>0</v>
      </c>
      <c r="V9" s="345"/>
    </row>
    <row r="10" spans="1:22" ht="20" customHeight="1" x14ac:dyDescent="0.4">
      <c r="A10" s="338" t="s">
        <v>304</v>
      </c>
      <c r="B10" s="339"/>
      <c r="C10" s="339"/>
      <c r="D10" s="340"/>
      <c r="E10" s="330">
        <f t="shared" si="0"/>
        <v>0</v>
      </c>
      <c r="F10" s="341"/>
      <c r="G10" s="341"/>
      <c r="H10" s="342"/>
      <c r="I10" s="333">
        <f t="shared" si="1"/>
        <v>0</v>
      </c>
      <c r="J10" s="343"/>
      <c r="K10" s="343"/>
      <c r="L10" s="344"/>
      <c r="M10" s="330">
        <f t="shared" si="2"/>
        <v>0</v>
      </c>
      <c r="N10" s="341"/>
      <c r="O10" s="341"/>
      <c r="P10" s="342"/>
      <c r="Q10" s="333">
        <f t="shared" si="3"/>
        <v>0</v>
      </c>
      <c r="R10" s="343"/>
      <c r="S10" s="343"/>
      <c r="T10" s="344"/>
      <c r="U10" s="336">
        <f t="shared" si="4"/>
        <v>0</v>
      </c>
      <c r="V10" s="345"/>
    </row>
    <row r="11" spans="1:22" ht="20" customHeight="1" x14ac:dyDescent="0.4">
      <c r="A11" s="346" t="s">
        <v>302</v>
      </c>
      <c r="B11" s="339"/>
      <c r="C11" s="339"/>
      <c r="D11" s="340"/>
      <c r="E11" s="330">
        <f t="shared" si="0"/>
        <v>0</v>
      </c>
      <c r="F11" s="341"/>
      <c r="G11" s="341"/>
      <c r="H11" s="342"/>
      <c r="I11" s="333">
        <f t="shared" si="1"/>
        <v>0</v>
      </c>
      <c r="J11" s="343"/>
      <c r="K11" s="343"/>
      <c r="L11" s="344"/>
      <c r="M11" s="330">
        <f t="shared" si="2"/>
        <v>0</v>
      </c>
      <c r="N11" s="341"/>
      <c r="O11" s="341"/>
      <c r="P11" s="342"/>
      <c r="Q11" s="333">
        <f t="shared" si="3"/>
        <v>0</v>
      </c>
      <c r="R11" s="343"/>
      <c r="S11" s="343"/>
      <c r="T11" s="344"/>
      <c r="U11" s="336">
        <f t="shared" si="4"/>
        <v>0</v>
      </c>
      <c r="V11" s="345"/>
    </row>
    <row r="12" spans="1:22" ht="20" customHeight="1" x14ac:dyDescent="0.4">
      <c r="A12" s="347" t="s">
        <v>303</v>
      </c>
      <c r="B12" s="348"/>
      <c r="C12" s="348"/>
      <c r="D12" s="349"/>
      <c r="E12" s="330">
        <f t="shared" si="0"/>
        <v>0</v>
      </c>
      <c r="F12" s="350"/>
      <c r="G12" s="350"/>
      <c r="H12" s="351"/>
      <c r="I12" s="333">
        <f t="shared" si="1"/>
        <v>0</v>
      </c>
      <c r="J12" s="352"/>
      <c r="K12" s="352"/>
      <c r="L12" s="353"/>
      <c r="M12" s="330">
        <f t="shared" si="2"/>
        <v>0</v>
      </c>
      <c r="N12" s="350"/>
      <c r="O12" s="350"/>
      <c r="P12" s="351"/>
      <c r="Q12" s="333">
        <f t="shared" si="3"/>
        <v>0</v>
      </c>
      <c r="R12" s="352"/>
      <c r="S12" s="352"/>
      <c r="T12" s="353"/>
      <c r="U12" s="336">
        <f t="shared" si="4"/>
        <v>0</v>
      </c>
      <c r="V12" s="354"/>
    </row>
    <row r="13" spans="1:22" ht="20" customHeight="1" x14ac:dyDescent="0.25">
      <c r="A13" s="355" t="s">
        <v>109</v>
      </c>
      <c r="B13" s="356">
        <f>SUM(B6:B12)</f>
        <v>0</v>
      </c>
      <c r="C13" s="356">
        <f>SUM(C6:C12)</f>
        <v>0</v>
      </c>
      <c r="D13" s="357">
        <f>SUM(D6:D12)</f>
        <v>0</v>
      </c>
      <c r="E13" s="358">
        <f t="shared" si="0"/>
        <v>0</v>
      </c>
      <c r="F13" s="358">
        <f>SUM(F6:F12)</f>
        <v>0</v>
      </c>
      <c r="G13" s="358">
        <f>SUM(G6:G12)</f>
        <v>0</v>
      </c>
      <c r="H13" s="359">
        <f>SUM(H6:H12)</f>
        <v>0</v>
      </c>
      <c r="I13" s="358">
        <f t="shared" si="1"/>
        <v>0</v>
      </c>
      <c r="J13" s="358">
        <f t="shared" ref="J13:T13" si="5">SUM(J6:J12)</f>
        <v>0</v>
      </c>
      <c r="K13" s="358">
        <f t="shared" si="5"/>
        <v>0</v>
      </c>
      <c r="L13" s="360">
        <f t="shared" si="5"/>
        <v>0</v>
      </c>
      <c r="M13" s="361">
        <f t="shared" si="2"/>
        <v>0</v>
      </c>
      <c r="N13" s="358">
        <f t="shared" si="5"/>
        <v>0</v>
      </c>
      <c r="O13" s="358">
        <f t="shared" si="5"/>
        <v>0</v>
      </c>
      <c r="P13" s="360">
        <f t="shared" si="5"/>
        <v>0</v>
      </c>
      <c r="Q13" s="361">
        <f t="shared" si="3"/>
        <v>0</v>
      </c>
      <c r="R13" s="358">
        <f t="shared" si="5"/>
        <v>0</v>
      </c>
      <c r="S13" s="358">
        <f t="shared" si="5"/>
        <v>0</v>
      </c>
      <c r="T13" s="360">
        <f t="shared" si="5"/>
        <v>0</v>
      </c>
      <c r="U13" s="361">
        <f t="shared" si="4"/>
        <v>0</v>
      </c>
      <c r="V13" s="362"/>
    </row>
    <row r="14" spans="1:22" ht="20" customHeight="1" x14ac:dyDescent="0.25">
      <c r="A14" s="327" t="s">
        <v>305</v>
      </c>
      <c r="B14" s="328"/>
      <c r="C14" s="328"/>
      <c r="D14" s="329"/>
      <c r="E14" s="363"/>
      <c r="F14" s="328"/>
      <c r="G14" s="328"/>
      <c r="H14" s="364"/>
      <c r="I14" s="365"/>
      <c r="J14" s="328"/>
      <c r="K14" s="328"/>
      <c r="L14" s="329"/>
      <c r="M14" s="363"/>
      <c r="N14" s="328"/>
      <c r="O14" s="328"/>
      <c r="P14" s="364"/>
      <c r="Q14" s="365"/>
      <c r="R14" s="328"/>
      <c r="S14" s="328"/>
      <c r="T14" s="329"/>
      <c r="U14" s="363"/>
      <c r="V14" s="337"/>
    </row>
    <row r="15" spans="1:22" ht="20" customHeight="1" x14ac:dyDescent="0.4">
      <c r="A15" s="338" t="s">
        <v>306</v>
      </c>
      <c r="B15" s="366"/>
      <c r="C15" s="366"/>
      <c r="D15" s="367"/>
      <c r="E15" s="368"/>
      <c r="F15" s="339"/>
      <c r="G15" s="339"/>
      <c r="H15" s="369"/>
      <c r="I15" s="370"/>
      <c r="J15" s="339"/>
      <c r="K15" s="339"/>
      <c r="L15" s="340"/>
      <c r="M15" s="368"/>
      <c r="N15" s="339"/>
      <c r="O15" s="339"/>
      <c r="P15" s="369"/>
      <c r="Q15" s="370"/>
      <c r="R15" s="339"/>
      <c r="S15" s="339"/>
      <c r="T15" s="340"/>
      <c r="U15" s="368"/>
      <c r="V15" s="345"/>
    </row>
    <row r="16" spans="1:22" ht="20" customHeight="1" x14ac:dyDescent="0.4">
      <c r="A16" s="346" t="s">
        <v>302</v>
      </c>
      <c r="B16" s="366"/>
      <c r="C16" s="366"/>
      <c r="D16" s="367"/>
      <c r="E16" s="368"/>
      <c r="F16" s="339"/>
      <c r="G16" s="339"/>
      <c r="H16" s="369"/>
      <c r="I16" s="370"/>
      <c r="J16" s="339"/>
      <c r="K16" s="339"/>
      <c r="L16" s="340"/>
      <c r="M16" s="368"/>
      <c r="N16" s="339"/>
      <c r="O16" s="339"/>
      <c r="P16" s="369"/>
      <c r="Q16" s="370"/>
      <c r="R16" s="339"/>
      <c r="S16" s="339"/>
      <c r="T16" s="340"/>
      <c r="U16" s="368"/>
      <c r="V16" s="345"/>
    </row>
    <row r="17" spans="1:22" ht="20" customHeight="1" x14ac:dyDescent="0.4">
      <c r="A17" s="346" t="s">
        <v>303</v>
      </c>
      <c r="B17" s="366"/>
      <c r="C17" s="366"/>
      <c r="D17" s="367"/>
      <c r="E17" s="368"/>
      <c r="F17" s="339"/>
      <c r="G17" s="339"/>
      <c r="H17" s="369"/>
      <c r="I17" s="370"/>
      <c r="J17" s="339"/>
      <c r="K17" s="339"/>
      <c r="L17" s="340"/>
      <c r="M17" s="368"/>
      <c r="N17" s="339"/>
      <c r="O17" s="339"/>
      <c r="P17" s="369"/>
      <c r="Q17" s="370"/>
      <c r="R17" s="339"/>
      <c r="S17" s="339"/>
      <c r="T17" s="340"/>
      <c r="U17" s="368"/>
      <c r="V17" s="345"/>
    </row>
    <row r="18" spans="1:22" ht="20" customHeight="1" x14ac:dyDescent="0.4">
      <c r="A18" s="338" t="s">
        <v>307</v>
      </c>
      <c r="B18" s="366"/>
      <c r="C18" s="366"/>
      <c r="D18" s="367"/>
      <c r="E18" s="368"/>
      <c r="F18" s="339"/>
      <c r="G18" s="339"/>
      <c r="H18" s="369"/>
      <c r="I18" s="370"/>
      <c r="J18" s="339"/>
      <c r="K18" s="339"/>
      <c r="L18" s="340"/>
      <c r="M18" s="368"/>
      <c r="N18" s="339"/>
      <c r="O18" s="339"/>
      <c r="P18" s="369"/>
      <c r="Q18" s="370"/>
      <c r="R18" s="339"/>
      <c r="S18" s="339"/>
      <c r="T18" s="340"/>
      <c r="U18" s="368"/>
      <c r="V18" s="345"/>
    </row>
    <row r="19" spans="1:22" ht="20" customHeight="1" x14ac:dyDescent="0.4">
      <c r="A19" s="346" t="s">
        <v>302</v>
      </c>
      <c r="B19" s="366"/>
      <c r="C19" s="366"/>
      <c r="D19" s="367"/>
      <c r="E19" s="368"/>
      <c r="F19" s="339"/>
      <c r="G19" s="339"/>
      <c r="H19" s="369"/>
      <c r="I19" s="370"/>
      <c r="J19" s="339"/>
      <c r="K19" s="339"/>
      <c r="L19" s="340"/>
      <c r="M19" s="368"/>
      <c r="N19" s="339"/>
      <c r="O19" s="339"/>
      <c r="P19" s="369"/>
      <c r="Q19" s="370"/>
      <c r="R19" s="339"/>
      <c r="S19" s="339"/>
      <c r="T19" s="340"/>
      <c r="U19" s="368"/>
      <c r="V19" s="345"/>
    </row>
    <row r="20" spans="1:22" ht="20" customHeight="1" x14ac:dyDescent="0.4">
      <c r="A20" s="347" t="s">
        <v>303</v>
      </c>
      <c r="B20" s="371"/>
      <c r="C20" s="371"/>
      <c r="D20" s="372"/>
      <c r="E20" s="373"/>
      <c r="F20" s="348"/>
      <c r="G20" s="348"/>
      <c r="H20" s="374"/>
      <c r="I20" s="375"/>
      <c r="J20" s="348"/>
      <c r="K20" s="348"/>
      <c r="L20" s="349"/>
      <c r="M20" s="373"/>
      <c r="N20" s="348"/>
      <c r="O20" s="348"/>
      <c r="P20" s="374"/>
      <c r="Q20" s="375"/>
      <c r="R20" s="348"/>
      <c r="S20" s="348"/>
      <c r="T20" s="349"/>
      <c r="U20" s="373"/>
      <c r="V20" s="354"/>
    </row>
    <row r="21" spans="1:22" ht="20" customHeight="1" x14ac:dyDescent="0.25">
      <c r="A21" s="355" t="s">
        <v>109</v>
      </c>
      <c r="B21" s="356">
        <f>SUM(B15:B20)</f>
        <v>0</v>
      </c>
      <c r="C21" s="356">
        <f>SUM(C15:C20)</f>
        <v>0</v>
      </c>
      <c r="D21" s="357">
        <f>SUM(D15:D20)</f>
        <v>0</v>
      </c>
      <c r="E21" s="356">
        <f t="shared" ref="E21:U21" si="6">SUM(E15:E20)</f>
        <v>0</v>
      </c>
      <c r="F21" s="356">
        <f t="shared" si="6"/>
        <v>0</v>
      </c>
      <c r="G21" s="376">
        <f t="shared" si="6"/>
        <v>0</v>
      </c>
      <c r="H21" s="357">
        <f t="shared" si="6"/>
        <v>0</v>
      </c>
      <c r="I21" s="358">
        <f t="shared" si="6"/>
        <v>0</v>
      </c>
      <c r="J21" s="376">
        <f t="shared" si="6"/>
        <v>0</v>
      </c>
      <c r="K21" s="356">
        <f t="shared" si="6"/>
        <v>0</v>
      </c>
      <c r="L21" s="376">
        <f t="shared" si="6"/>
        <v>0</v>
      </c>
      <c r="M21" s="377">
        <f t="shared" si="6"/>
        <v>0</v>
      </c>
      <c r="N21" s="356">
        <f t="shared" si="6"/>
        <v>0</v>
      </c>
      <c r="O21" s="356">
        <f t="shared" si="6"/>
        <v>0</v>
      </c>
      <c r="P21" s="357">
        <f t="shared" si="6"/>
        <v>0</v>
      </c>
      <c r="Q21" s="356">
        <f t="shared" si="6"/>
        <v>0</v>
      </c>
      <c r="R21" s="356">
        <f t="shared" si="6"/>
        <v>0</v>
      </c>
      <c r="S21" s="356">
        <f t="shared" si="6"/>
        <v>0</v>
      </c>
      <c r="T21" s="376">
        <f t="shared" si="6"/>
        <v>0</v>
      </c>
      <c r="U21" s="361">
        <f t="shared" si="6"/>
        <v>0</v>
      </c>
      <c r="V21" s="378"/>
    </row>
    <row r="22" spans="1:22" ht="20" customHeight="1" thickBot="1" x14ac:dyDescent="0.3">
      <c r="A22" s="93" t="s">
        <v>112</v>
      </c>
      <c r="B22" s="379">
        <f>B13+B21</f>
        <v>0</v>
      </c>
      <c r="C22" s="379">
        <f>C13+C21</f>
        <v>0</v>
      </c>
      <c r="D22" s="380">
        <f>D13+D21</f>
        <v>0</v>
      </c>
      <c r="E22" s="379">
        <f t="shared" ref="E22:U22" si="7">E13+E21</f>
        <v>0</v>
      </c>
      <c r="F22" s="379">
        <f t="shared" si="7"/>
        <v>0</v>
      </c>
      <c r="G22" s="381">
        <f t="shared" si="7"/>
        <v>0</v>
      </c>
      <c r="H22" s="381">
        <f t="shared" si="7"/>
        <v>0</v>
      </c>
      <c r="I22" s="382">
        <f t="shared" si="7"/>
        <v>0</v>
      </c>
      <c r="J22" s="381">
        <f t="shared" si="7"/>
        <v>0</v>
      </c>
      <c r="K22" s="379">
        <f t="shared" si="7"/>
        <v>0</v>
      </c>
      <c r="L22" s="380">
        <f t="shared" si="7"/>
        <v>0</v>
      </c>
      <c r="M22" s="383">
        <f t="shared" si="7"/>
        <v>0</v>
      </c>
      <c r="N22" s="379">
        <f t="shared" si="7"/>
        <v>0</v>
      </c>
      <c r="O22" s="379">
        <f t="shared" si="7"/>
        <v>0</v>
      </c>
      <c r="P22" s="380">
        <f t="shared" si="7"/>
        <v>0</v>
      </c>
      <c r="Q22" s="379">
        <f t="shared" si="7"/>
        <v>0</v>
      </c>
      <c r="R22" s="379">
        <f t="shared" si="7"/>
        <v>0</v>
      </c>
      <c r="S22" s="381">
        <f t="shared" si="7"/>
        <v>0</v>
      </c>
      <c r="T22" s="381">
        <f t="shared" si="7"/>
        <v>0</v>
      </c>
      <c r="U22" s="382">
        <f t="shared" si="7"/>
        <v>0</v>
      </c>
      <c r="V22" s="384"/>
    </row>
    <row r="23" spans="1:22" ht="16.5" x14ac:dyDescent="0.4">
      <c r="A23" s="385" t="s">
        <v>206</v>
      </c>
      <c r="B23" s="386"/>
      <c r="C23" s="386"/>
      <c r="D23" s="386"/>
      <c r="E23" s="386"/>
      <c r="F23" s="386"/>
      <c r="G23" s="386"/>
      <c r="H23" s="386"/>
      <c r="I23" s="386"/>
      <c r="J23" s="386"/>
      <c r="K23" s="386"/>
      <c r="L23" s="386"/>
      <c r="M23" s="386"/>
      <c r="N23" s="386"/>
      <c r="O23" s="386"/>
      <c r="P23" s="386"/>
      <c r="Q23" s="386"/>
      <c r="R23" s="387"/>
      <c r="S23" s="387"/>
      <c r="T23" s="387"/>
      <c r="U23" s="388"/>
      <c r="V23" s="387"/>
    </row>
    <row r="24" spans="1:22" ht="15" x14ac:dyDescent="0.25">
      <c r="A24" s="389" t="s">
        <v>308</v>
      </c>
      <c r="B24" s="386"/>
      <c r="C24" s="386"/>
      <c r="D24" s="386"/>
      <c r="E24" s="386"/>
      <c r="F24" s="386"/>
      <c r="G24" s="386"/>
      <c r="H24" s="386"/>
      <c r="I24" s="386"/>
      <c r="J24" s="386"/>
      <c r="K24" s="386"/>
      <c r="L24" s="386"/>
      <c r="M24" s="386"/>
      <c r="N24" s="386"/>
      <c r="O24" s="386"/>
      <c r="P24" s="386"/>
      <c r="Q24" s="386"/>
      <c r="R24" s="387"/>
      <c r="S24" s="387"/>
      <c r="T24" s="387"/>
      <c r="U24" s="388"/>
      <c r="V24" s="387"/>
    </row>
    <row r="25" spans="1:22" ht="15" x14ac:dyDescent="0.25">
      <c r="A25" s="389" t="s">
        <v>309</v>
      </c>
      <c r="B25" s="386"/>
      <c r="C25" s="386"/>
      <c r="D25" s="386"/>
      <c r="E25" s="386"/>
      <c r="F25" s="386"/>
      <c r="G25" s="386"/>
      <c r="H25" s="386"/>
      <c r="I25" s="386"/>
      <c r="J25" s="386"/>
      <c r="K25" s="386"/>
      <c r="L25" s="386"/>
      <c r="M25" s="386"/>
      <c r="N25" s="386"/>
      <c r="O25" s="386"/>
      <c r="P25" s="386"/>
      <c r="Q25" s="386"/>
      <c r="R25" s="387"/>
      <c r="S25" s="387"/>
      <c r="T25" s="387"/>
      <c r="U25" s="388"/>
      <c r="V25" s="387"/>
    </row>
    <row r="26" spans="1:22" ht="15" x14ac:dyDescent="0.25">
      <c r="A26" s="389" t="s">
        <v>310</v>
      </c>
      <c r="B26" s="386"/>
      <c r="C26" s="386"/>
      <c r="D26" s="386"/>
      <c r="E26" s="386"/>
      <c r="F26" s="386"/>
      <c r="G26" s="386"/>
      <c r="H26" s="386"/>
      <c r="I26" s="386"/>
      <c r="J26" s="386"/>
      <c r="K26" s="386"/>
      <c r="L26" s="386"/>
      <c r="M26" s="386"/>
      <c r="N26" s="386"/>
      <c r="O26" s="386"/>
      <c r="P26" s="386"/>
      <c r="Q26" s="386"/>
      <c r="R26" s="387"/>
      <c r="S26" s="387"/>
      <c r="T26" s="387"/>
      <c r="U26" s="388"/>
      <c r="V26" s="387"/>
    </row>
    <row r="27" spans="1:22" ht="15" x14ac:dyDescent="0.25">
      <c r="A27" s="389" t="s">
        <v>311</v>
      </c>
      <c r="B27" s="386"/>
      <c r="C27" s="386"/>
      <c r="D27" s="386"/>
      <c r="E27" s="386"/>
      <c r="F27" s="386"/>
      <c r="G27" s="386"/>
      <c r="H27" s="386"/>
      <c r="I27" s="386"/>
      <c r="J27" s="386"/>
      <c r="K27" s="386"/>
      <c r="L27" s="386"/>
      <c r="M27" s="386"/>
      <c r="N27" s="386"/>
      <c r="O27" s="386"/>
      <c r="P27" s="386"/>
      <c r="Q27" s="386"/>
      <c r="R27" s="387"/>
      <c r="S27" s="387"/>
      <c r="T27" s="387"/>
      <c r="U27" s="388"/>
      <c r="V27" s="387"/>
    </row>
    <row r="28" spans="1:22" ht="15" x14ac:dyDescent="0.25">
      <c r="A28" s="389" t="s">
        <v>312</v>
      </c>
      <c r="B28" s="386"/>
      <c r="C28" s="386"/>
      <c r="D28" s="386"/>
      <c r="E28" s="386"/>
      <c r="F28" s="386"/>
      <c r="G28" s="386"/>
      <c r="H28" s="386"/>
      <c r="I28" s="386"/>
      <c r="J28" s="386"/>
      <c r="K28" s="386"/>
      <c r="L28" s="386"/>
      <c r="M28" s="386"/>
      <c r="N28" s="386"/>
      <c r="O28" s="386"/>
      <c r="P28" s="386"/>
      <c r="Q28" s="386"/>
      <c r="R28" s="387"/>
      <c r="S28" s="387"/>
      <c r="T28" s="387"/>
      <c r="U28" s="388"/>
      <c r="V28" s="387"/>
    </row>
    <row r="29" spans="1:22" ht="15" x14ac:dyDescent="0.25">
      <c r="A29" s="389" t="s">
        <v>313</v>
      </c>
      <c r="B29" s="386"/>
      <c r="C29" s="386"/>
      <c r="D29" s="386"/>
      <c r="E29" s="386"/>
      <c r="F29" s="386"/>
      <c r="G29" s="386"/>
      <c r="H29" s="386"/>
      <c r="I29" s="386"/>
      <c r="J29" s="386"/>
      <c r="K29" s="386"/>
      <c r="L29" s="386"/>
      <c r="M29" s="386"/>
      <c r="N29" s="386"/>
      <c r="O29" s="386"/>
      <c r="P29" s="386"/>
      <c r="Q29" s="386"/>
      <c r="R29" s="387"/>
      <c r="S29" s="387"/>
      <c r="T29" s="387"/>
      <c r="U29" s="388"/>
      <c r="V29" s="387"/>
    </row>
    <row r="30" spans="1:22" ht="14.5" x14ac:dyDescent="0.25">
      <c r="A30" s="390" t="s">
        <v>314</v>
      </c>
      <c r="B30" s="386"/>
      <c r="C30" s="386"/>
      <c r="D30" s="386"/>
      <c r="E30" s="386"/>
      <c r="F30" s="386"/>
      <c r="G30" s="386"/>
      <c r="H30" s="386"/>
      <c r="I30" s="386"/>
      <c r="J30" s="386"/>
      <c r="K30" s="386"/>
      <c r="L30" s="386"/>
      <c r="M30" s="386"/>
      <c r="N30" s="386"/>
      <c r="O30" s="386"/>
      <c r="P30" s="386"/>
      <c r="Q30" s="386"/>
      <c r="R30" s="387"/>
      <c r="S30" s="387"/>
      <c r="T30" s="387"/>
      <c r="U30" s="387"/>
      <c r="V30" s="387"/>
    </row>
  </sheetData>
  <mergeCells count="8">
    <mergeCell ref="A2:V2"/>
    <mergeCell ref="A4:A5"/>
    <mergeCell ref="B4:B5"/>
    <mergeCell ref="C4:C5"/>
    <mergeCell ref="D4:D5"/>
    <mergeCell ref="E4:T4"/>
    <mergeCell ref="U4:U5"/>
    <mergeCell ref="V4:V5"/>
  </mergeCells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3"/>
  <sheetViews>
    <sheetView showGridLines="0" workbookViewId="0">
      <selection activeCell="D8" sqref="D8"/>
    </sheetView>
  </sheetViews>
  <sheetFormatPr defaultColWidth="9.81640625" defaultRowHeight="20" customHeight="1" x14ac:dyDescent="0.25"/>
  <cols>
    <col min="1" max="1" width="13" style="418" customWidth="1"/>
    <col min="2" max="2" width="9.7265625" style="418" customWidth="1"/>
    <col min="3" max="3" width="6.6328125" style="418" customWidth="1"/>
    <col min="4" max="4" width="9.26953125" style="418" customWidth="1"/>
    <col min="5" max="5" width="9.90625" style="418" customWidth="1"/>
    <col min="6" max="22" width="9.36328125" style="418" customWidth="1"/>
    <col min="23" max="23" width="13.54296875" style="418" customWidth="1"/>
    <col min="24" max="16384" width="9.81640625" style="418"/>
  </cols>
  <sheetData>
    <row r="1" spans="1:23" s="391" customFormat="1" ht="27.5" customHeight="1" x14ac:dyDescent="0.55000000000000004">
      <c r="A1" s="501" t="s">
        <v>315</v>
      </c>
      <c r="B1" s="501"/>
      <c r="C1" s="501"/>
      <c r="D1" s="501"/>
      <c r="E1" s="501"/>
      <c r="F1" s="501"/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  <c r="S1" s="501"/>
      <c r="T1" s="501"/>
      <c r="U1" s="501"/>
      <c r="V1" s="501"/>
      <c r="W1" s="501"/>
    </row>
    <row r="2" spans="1:23" s="44" customFormat="1" ht="20" customHeight="1" thickBot="1" x14ac:dyDescent="0.3">
      <c r="A2" s="44" t="s">
        <v>1</v>
      </c>
      <c r="J2" s="44" t="s">
        <v>2</v>
      </c>
      <c r="R2" s="44" t="s">
        <v>3</v>
      </c>
    </row>
    <row r="3" spans="1:23" s="392" customFormat="1" ht="20" customHeight="1" x14ac:dyDescent="0.25">
      <c r="A3" s="493" t="s">
        <v>316</v>
      </c>
      <c r="B3" s="472" t="s">
        <v>317</v>
      </c>
      <c r="C3" s="472" t="s">
        <v>318</v>
      </c>
      <c r="D3" s="472" t="s">
        <v>319</v>
      </c>
      <c r="E3" s="466" t="s">
        <v>320</v>
      </c>
      <c r="F3" s="468" t="s">
        <v>275</v>
      </c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70"/>
      <c r="V3" s="502" t="s">
        <v>321</v>
      </c>
      <c r="W3" s="488" t="s">
        <v>81</v>
      </c>
    </row>
    <row r="4" spans="1:23" s="392" customFormat="1" ht="20" customHeight="1" thickBot="1" x14ac:dyDescent="0.3">
      <c r="A4" s="494"/>
      <c r="B4" s="473"/>
      <c r="C4" s="473"/>
      <c r="D4" s="473"/>
      <c r="E4" s="467"/>
      <c r="F4" s="208" t="s">
        <v>276</v>
      </c>
      <c r="G4" s="209" t="s">
        <v>83</v>
      </c>
      <c r="H4" s="209" t="s">
        <v>84</v>
      </c>
      <c r="I4" s="211" t="s">
        <v>85</v>
      </c>
      <c r="J4" s="212" t="s">
        <v>277</v>
      </c>
      <c r="K4" s="209" t="s">
        <v>87</v>
      </c>
      <c r="L4" s="209" t="s">
        <v>88</v>
      </c>
      <c r="M4" s="210" t="s">
        <v>89</v>
      </c>
      <c r="N4" s="208" t="s">
        <v>278</v>
      </c>
      <c r="O4" s="209" t="s">
        <v>91</v>
      </c>
      <c r="P4" s="209" t="s">
        <v>92</v>
      </c>
      <c r="Q4" s="211" t="s">
        <v>93</v>
      </c>
      <c r="R4" s="212" t="s">
        <v>279</v>
      </c>
      <c r="S4" s="209" t="s">
        <v>95</v>
      </c>
      <c r="T4" s="209" t="s">
        <v>96</v>
      </c>
      <c r="U4" s="211" t="s">
        <v>97</v>
      </c>
      <c r="V4" s="503"/>
      <c r="W4" s="489"/>
    </row>
    <row r="5" spans="1:23" s="399" customFormat="1" ht="20" customHeight="1" thickTop="1" x14ac:dyDescent="0.4">
      <c r="A5" s="393" t="s">
        <v>322</v>
      </c>
      <c r="B5" s="394"/>
      <c r="C5" s="395"/>
      <c r="D5" s="395"/>
      <c r="E5" s="396"/>
      <c r="F5" s="336">
        <f>SUM(G5:I5)</f>
        <v>0</v>
      </c>
      <c r="G5" s="395"/>
      <c r="H5" s="395"/>
      <c r="I5" s="397"/>
      <c r="J5" s="398">
        <f>SUM(K5:M5)</f>
        <v>0</v>
      </c>
      <c r="K5" s="395"/>
      <c r="L5" s="395"/>
      <c r="M5" s="396"/>
      <c r="N5" s="330">
        <f>SUM(O5:Q5)</f>
        <v>0</v>
      </c>
      <c r="O5" s="395"/>
      <c r="P5" s="395"/>
      <c r="Q5" s="397"/>
      <c r="R5" s="398">
        <f>SUM(S5:U5)</f>
        <v>0</v>
      </c>
      <c r="S5" s="395"/>
      <c r="T5" s="395"/>
      <c r="U5" s="396"/>
      <c r="V5" s="330">
        <f>F5+J5+N5+R5</f>
        <v>0</v>
      </c>
      <c r="W5" s="307"/>
    </row>
    <row r="6" spans="1:23" s="399" customFormat="1" ht="20" customHeight="1" x14ac:dyDescent="0.4">
      <c r="A6" s="400" t="s">
        <v>323</v>
      </c>
      <c r="B6" s="401"/>
      <c r="C6" s="366"/>
      <c r="D6" s="366"/>
      <c r="E6" s="367"/>
      <c r="F6" s="336">
        <f>SUM(G6:I6)</f>
        <v>0</v>
      </c>
      <c r="G6" s="366"/>
      <c r="H6" s="366"/>
      <c r="I6" s="402"/>
      <c r="J6" s="398">
        <f t="shared" ref="J6:J19" si="0">SUM(K6:M6)</f>
        <v>0</v>
      </c>
      <c r="K6" s="366"/>
      <c r="L6" s="366"/>
      <c r="M6" s="367"/>
      <c r="N6" s="330">
        <f t="shared" ref="N6:N19" si="1">SUM(O6:Q6)</f>
        <v>0</v>
      </c>
      <c r="O6" s="366"/>
      <c r="P6" s="366"/>
      <c r="Q6" s="402"/>
      <c r="R6" s="398">
        <f t="shared" ref="R6:R19" si="2">SUM(S6:U6)</f>
        <v>0</v>
      </c>
      <c r="S6" s="366"/>
      <c r="T6" s="366"/>
      <c r="U6" s="367"/>
      <c r="V6" s="330">
        <f t="shared" ref="V6:V21" si="3">F6+J6+N6+R6</f>
        <v>0</v>
      </c>
      <c r="W6" s="317"/>
    </row>
    <row r="7" spans="1:23" s="399" customFormat="1" ht="20" customHeight="1" x14ac:dyDescent="0.4">
      <c r="A7" s="400"/>
      <c r="B7" s="401"/>
      <c r="C7" s="366"/>
      <c r="D7" s="366"/>
      <c r="E7" s="367"/>
      <c r="F7" s="336">
        <f>SUM(G7:I7)</f>
        <v>0</v>
      </c>
      <c r="G7" s="366"/>
      <c r="H7" s="366"/>
      <c r="I7" s="402"/>
      <c r="J7" s="398">
        <f t="shared" si="0"/>
        <v>0</v>
      </c>
      <c r="K7" s="366"/>
      <c r="L7" s="366"/>
      <c r="M7" s="367"/>
      <c r="N7" s="330">
        <f t="shared" si="1"/>
        <v>0</v>
      </c>
      <c r="O7" s="366"/>
      <c r="P7" s="366"/>
      <c r="Q7" s="402"/>
      <c r="R7" s="398">
        <f t="shared" si="2"/>
        <v>0</v>
      </c>
      <c r="S7" s="366"/>
      <c r="T7" s="366"/>
      <c r="U7" s="367"/>
      <c r="V7" s="330">
        <f t="shared" si="3"/>
        <v>0</v>
      </c>
      <c r="W7" s="317"/>
    </row>
    <row r="8" spans="1:23" s="399" customFormat="1" ht="20" customHeight="1" x14ac:dyDescent="0.4">
      <c r="A8" s="400"/>
      <c r="B8" s="401"/>
      <c r="C8" s="366"/>
      <c r="D8" s="366"/>
      <c r="E8" s="367"/>
      <c r="F8" s="336">
        <f>SUM(G8:I8)</f>
        <v>0</v>
      </c>
      <c r="G8" s="366"/>
      <c r="H8" s="366"/>
      <c r="I8" s="402"/>
      <c r="J8" s="398">
        <f t="shared" si="0"/>
        <v>0</v>
      </c>
      <c r="K8" s="366"/>
      <c r="L8" s="366"/>
      <c r="M8" s="367"/>
      <c r="N8" s="330">
        <f t="shared" si="1"/>
        <v>0</v>
      </c>
      <c r="O8" s="366"/>
      <c r="P8" s="366"/>
      <c r="Q8" s="402"/>
      <c r="R8" s="398">
        <f t="shared" si="2"/>
        <v>0</v>
      </c>
      <c r="S8" s="366"/>
      <c r="T8" s="366"/>
      <c r="U8" s="367"/>
      <c r="V8" s="330">
        <f t="shared" si="3"/>
        <v>0</v>
      </c>
      <c r="W8" s="317"/>
    </row>
    <row r="9" spans="1:23" s="399" customFormat="1" ht="20" customHeight="1" x14ac:dyDescent="0.4">
      <c r="A9" s="403"/>
      <c r="B9" s="404"/>
      <c r="C9" s="371"/>
      <c r="D9" s="371"/>
      <c r="E9" s="372"/>
      <c r="F9" s="336">
        <f t="shared" ref="F9:F19" si="4">SUM(G9:I9)</f>
        <v>0</v>
      </c>
      <c r="G9" s="371"/>
      <c r="H9" s="371"/>
      <c r="I9" s="405"/>
      <c r="J9" s="398">
        <f t="shared" si="0"/>
        <v>0</v>
      </c>
      <c r="K9" s="371"/>
      <c r="L9" s="371"/>
      <c r="M9" s="372"/>
      <c r="N9" s="330">
        <f t="shared" si="1"/>
        <v>0</v>
      </c>
      <c r="O9" s="371"/>
      <c r="P9" s="371"/>
      <c r="Q9" s="405"/>
      <c r="R9" s="398">
        <f t="shared" si="2"/>
        <v>0</v>
      </c>
      <c r="S9" s="371"/>
      <c r="T9" s="371"/>
      <c r="U9" s="372"/>
      <c r="V9" s="330">
        <f t="shared" si="3"/>
        <v>0</v>
      </c>
      <c r="W9" s="406"/>
    </row>
    <row r="10" spans="1:23" s="399" customFormat="1" ht="20" customHeight="1" x14ac:dyDescent="0.4">
      <c r="A10" s="407" t="s">
        <v>109</v>
      </c>
      <c r="B10" s="408"/>
      <c r="C10" s="356">
        <f>SUM(C5:C9)</f>
        <v>0</v>
      </c>
      <c r="D10" s="356">
        <f>SUM(D5:D9)</f>
        <v>0</v>
      </c>
      <c r="E10" s="357">
        <f>SUM(E5:E9)</f>
        <v>0</v>
      </c>
      <c r="F10" s="409">
        <f t="shared" si="4"/>
        <v>0</v>
      </c>
      <c r="G10" s="376">
        <f t="shared" ref="G10:U10" si="5">SUM(G5:G9)</f>
        <v>0</v>
      </c>
      <c r="H10" s="376">
        <f t="shared" si="5"/>
        <v>0</v>
      </c>
      <c r="I10" s="376">
        <f t="shared" si="5"/>
        <v>0</v>
      </c>
      <c r="J10" s="410">
        <f t="shared" si="0"/>
        <v>0</v>
      </c>
      <c r="K10" s="376">
        <f t="shared" si="5"/>
        <v>0</v>
      </c>
      <c r="L10" s="376">
        <f t="shared" si="5"/>
        <v>0</v>
      </c>
      <c r="M10" s="376">
        <f t="shared" si="5"/>
        <v>0</v>
      </c>
      <c r="N10" s="410">
        <f t="shared" si="1"/>
        <v>0</v>
      </c>
      <c r="O10" s="376">
        <f t="shared" si="5"/>
        <v>0</v>
      </c>
      <c r="P10" s="376">
        <f t="shared" si="5"/>
        <v>0</v>
      </c>
      <c r="Q10" s="357">
        <f t="shared" si="5"/>
        <v>0</v>
      </c>
      <c r="R10" s="410">
        <f t="shared" si="2"/>
        <v>0</v>
      </c>
      <c r="S10" s="376">
        <f t="shared" si="5"/>
        <v>0</v>
      </c>
      <c r="T10" s="376">
        <f t="shared" si="5"/>
        <v>0</v>
      </c>
      <c r="U10" s="357">
        <f t="shared" si="5"/>
        <v>0</v>
      </c>
      <c r="V10" s="411">
        <f t="shared" si="3"/>
        <v>0</v>
      </c>
      <c r="W10" s="412"/>
    </row>
    <row r="11" spans="1:23" s="399" customFormat="1" ht="20" customHeight="1" x14ac:dyDescent="0.4">
      <c r="A11" s="393" t="s">
        <v>324</v>
      </c>
      <c r="B11" s="394"/>
      <c r="C11" s="395"/>
      <c r="D11" s="395"/>
      <c r="E11" s="396"/>
      <c r="F11" s="336">
        <f t="shared" si="4"/>
        <v>0</v>
      </c>
      <c r="G11" s="395"/>
      <c r="H11" s="395"/>
      <c r="I11" s="397"/>
      <c r="J11" s="398">
        <f t="shared" si="0"/>
        <v>0</v>
      </c>
      <c r="K11" s="395"/>
      <c r="L11" s="395"/>
      <c r="M11" s="396"/>
      <c r="N11" s="330">
        <f t="shared" si="1"/>
        <v>0</v>
      </c>
      <c r="O11" s="395"/>
      <c r="P11" s="395"/>
      <c r="Q11" s="397"/>
      <c r="R11" s="398">
        <f t="shared" si="2"/>
        <v>0</v>
      </c>
      <c r="S11" s="395"/>
      <c r="T11" s="395"/>
      <c r="U11" s="396"/>
      <c r="V11" s="330">
        <f t="shared" si="3"/>
        <v>0</v>
      </c>
      <c r="W11" s="307"/>
    </row>
    <row r="12" spans="1:23" s="399" customFormat="1" ht="20" customHeight="1" x14ac:dyDescent="0.4">
      <c r="A12" s="400"/>
      <c r="B12" s="401"/>
      <c r="C12" s="366"/>
      <c r="D12" s="366"/>
      <c r="E12" s="367"/>
      <c r="F12" s="336">
        <f t="shared" si="4"/>
        <v>0</v>
      </c>
      <c r="G12" s="366"/>
      <c r="H12" s="366"/>
      <c r="I12" s="402"/>
      <c r="J12" s="398">
        <f t="shared" si="0"/>
        <v>0</v>
      </c>
      <c r="K12" s="366"/>
      <c r="L12" s="366"/>
      <c r="M12" s="367"/>
      <c r="N12" s="330">
        <f t="shared" si="1"/>
        <v>0</v>
      </c>
      <c r="O12" s="366"/>
      <c r="P12" s="366"/>
      <c r="Q12" s="402"/>
      <c r="R12" s="398">
        <f t="shared" si="2"/>
        <v>0</v>
      </c>
      <c r="S12" s="366"/>
      <c r="T12" s="366"/>
      <c r="U12" s="367"/>
      <c r="V12" s="330">
        <f t="shared" si="3"/>
        <v>0</v>
      </c>
      <c r="W12" s="317"/>
    </row>
    <row r="13" spans="1:23" s="399" customFormat="1" ht="20" customHeight="1" x14ac:dyDescent="0.4">
      <c r="A13" s="400"/>
      <c r="B13" s="401"/>
      <c r="C13" s="366"/>
      <c r="D13" s="366"/>
      <c r="E13" s="367"/>
      <c r="F13" s="336">
        <f t="shared" si="4"/>
        <v>0</v>
      </c>
      <c r="G13" s="366"/>
      <c r="H13" s="366"/>
      <c r="I13" s="402"/>
      <c r="J13" s="398">
        <f t="shared" si="0"/>
        <v>0</v>
      </c>
      <c r="K13" s="366"/>
      <c r="L13" s="366"/>
      <c r="M13" s="367"/>
      <c r="N13" s="330">
        <f t="shared" si="1"/>
        <v>0</v>
      </c>
      <c r="O13" s="366"/>
      <c r="P13" s="366"/>
      <c r="Q13" s="402"/>
      <c r="R13" s="398">
        <f t="shared" si="2"/>
        <v>0</v>
      </c>
      <c r="S13" s="366"/>
      <c r="T13" s="366"/>
      <c r="U13" s="367"/>
      <c r="V13" s="330">
        <f t="shared" si="3"/>
        <v>0</v>
      </c>
      <c r="W13" s="317"/>
    </row>
    <row r="14" spans="1:23" s="399" customFormat="1" ht="20" customHeight="1" x14ac:dyDescent="0.4">
      <c r="A14" s="403"/>
      <c r="B14" s="404"/>
      <c r="C14" s="371"/>
      <c r="D14" s="371"/>
      <c r="E14" s="372"/>
      <c r="F14" s="336">
        <f t="shared" si="4"/>
        <v>0</v>
      </c>
      <c r="G14" s="371"/>
      <c r="H14" s="371"/>
      <c r="I14" s="405"/>
      <c r="J14" s="398">
        <f t="shared" si="0"/>
        <v>0</v>
      </c>
      <c r="K14" s="371"/>
      <c r="L14" s="371"/>
      <c r="M14" s="372"/>
      <c r="N14" s="330">
        <f t="shared" si="1"/>
        <v>0</v>
      </c>
      <c r="O14" s="371"/>
      <c r="P14" s="371"/>
      <c r="Q14" s="405"/>
      <c r="R14" s="398">
        <f t="shared" si="2"/>
        <v>0</v>
      </c>
      <c r="S14" s="371"/>
      <c r="T14" s="371"/>
      <c r="U14" s="372"/>
      <c r="V14" s="330">
        <f t="shared" si="3"/>
        <v>0</v>
      </c>
      <c r="W14" s="406"/>
    </row>
    <row r="15" spans="1:23" s="399" customFormat="1" ht="20" customHeight="1" x14ac:dyDescent="0.4">
      <c r="A15" s="407" t="s">
        <v>109</v>
      </c>
      <c r="B15" s="408"/>
      <c r="C15" s="356">
        <f>SUM(C11:C14)</f>
        <v>0</v>
      </c>
      <c r="D15" s="356">
        <f>SUM(D11:D14)</f>
        <v>0</v>
      </c>
      <c r="E15" s="376">
        <f>SUM(E11:E14)</f>
        <v>0</v>
      </c>
      <c r="F15" s="413">
        <f t="shared" si="4"/>
        <v>0</v>
      </c>
      <c r="G15" s="376">
        <f t="shared" ref="G15:U15" si="6">SUM(G11:G14)</f>
        <v>0</v>
      </c>
      <c r="H15" s="356">
        <f t="shared" si="6"/>
        <v>0</v>
      </c>
      <c r="I15" s="376">
        <f t="shared" si="6"/>
        <v>0</v>
      </c>
      <c r="J15" s="410">
        <f t="shared" si="0"/>
        <v>0</v>
      </c>
      <c r="K15" s="376">
        <f t="shared" si="6"/>
        <v>0</v>
      </c>
      <c r="L15" s="356">
        <f t="shared" si="6"/>
        <v>0</v>
      </c>
      <c r="M15" s="357">
        <f t="shared" si="6"/>
        <v>0</v>
      </c>
      <c r="N15" s="411">
        <f t="shared" si="1"/>
        <v>0</v>
      </c>
      <c r="O15" s="376">
        <f t="shared" si="6"/>
        <v>0</v>
      </c>
      <c r="P15" s="356">
        <f t="shared" si="6"/>
        <v>0</v>
      </c>
      <c r="Q15" s="357">
        <f t="shared" si="6"/>
        <v>0</v>
      </c>
      <c r="R15" s="410">
        <f t="shared" si="2"/>
        <v>0</v>
      </c>
      <c r="S15" s="376">
        <f t="shared" si="6"/>
        <v>0</v>
      </c>
      <c r="T15" s="356">
        <f t="shared" si="6"/>
        <v>0</v>
      </c>
      <c r="U15" s="357">
        <f t="shared" si="6"/>
        <v>0</v>
      </c>
      <c r="V15" s="411">
        <f t="shared" si="3"/>
        <v>0</v>
      </c>
      <c r="W15" s="412"/>
    </row>
    <row r="16" spans="1:23" s="399" customFormat="1" ht="20" customHeight="1" x14ac:dyDescent="0.4">
      <c r="A16" s="393" t="s">
        <v>325</v>
      </c>
      <c r="B16" s="394"/>
      <c r="C16" s="395"/>
      <c r="D16" s="395"/>
      <c r="E16" s="396"/>
      <c r="F16" s="336">
        <f t="shared" si="4"/>
        <v>0</v>
      </c>
      <c r="G16" s="395"/>
      <c r="H16" s="395"/>
      <c r="I16" s="397"/>
      <c r="J16" s="398">
        <f t="shared" si="0"/>
        <v>0</v>
      </c>
      <c r="K16" s="395"/>
      <c r="L16" s="395"/>
      <c r="M16" s="396"/>
      <c r="N16" s="330">
        <f t="shared" si="1"/>
        <v>0</v>
      </c>
      <c r="O16" s="395"/>
      <c r="P16" s="395"/>
      <c r="Q16" s="397"/>
      <c r="R16" s="398">
        <f t="shared" si="2"/>
        <v>0</v>
      </c>
      <c r="S16" s="395"/>
      <c r="T16" s="395"/>
      <c r="U16" s="396"/>
      <c r="V16" s="330">
        <f t="shared" si="3"/>
        <v>0</v>
      </c>
      <c r="W16" s="307"/>
    </row>
    <row r="17" spans="1:23" s="399" customFormat="1" ht="20" customHeight="1" x14ac:dyDescent="0.4">
      <c r="A17" s="400"/>
      <c r="B17" s="401"/>
      <c r="C17" s="366"/>
      <c r="D17" s="366"/>
      <c r="E17" s="367"/>
      <c r="F17" s="336">
        <f t="shared" si="4"/>
        <v>0</v>
      </c>
      <c r="G17" s="366"/>
      <c r="H17" s="366"/>
      <c r="I17" s="402"/>
      <c r="J17" s="398">
        <f t="shared" si="0"/>
        <v>0</v>
      </c>
      <c r="K17" s="366"/>
      <c r="L17" s="366"/>
      <c r="M17" s="367"/>
      <c r="N17" s="330">
        <f t="shared" si="1"/>
        <v>0</v>
      </c>
      <c r="O17" s="366"/>
      <c r="P17" s="366"/>
      <c r="Q17" s="402"/>
      <c r="R17" s="398">
        <f t="shared" si="2"/>
        <v>0</v>
      </c>
      <c r="S17" s="366"/>
      <c r="T17" s="366"/>
      <c r="U17" s="367"/>
      <c r="V17" s="330">
        <f t="shared" si="3"/>
        <v>0</v>
      </c>
      <c r="W17" s="317"/>
    </row>
    <row r="18" spans="1:23" s="399" customFormat="1" ht="20" customHeight="1" x14ac:dyDescent="0.4">
      <c r="A18" s="400"/>
      <c r="B18" s="401"/>
      <c r="C18" s="366"/>
      <c r="D18" s="366"/>
      <c r="E18" s="367"/>
      <c r="F18" s="336">
        <f t="shared" si="4"/>
        <v>0</v>
      </c>
      <c r="G18" s="366"/>
      <c r="H18" s="366"/>
      <c r="I18" s="402"/>
      <c r="J18" s="398">
        <f t="shared" si="0"/>
        <v>0</v>
      </c>
      <c r="K18" s="366"/>
      <c r="L18" s="366"/>
      <c r="M18" s="367"/>
      <c r="N18" s="330">
        <f t="shared" si="1"/>
        <v>0</v>
      </c>
      <c r="O18" s="366"/>
      <c r="P18" s="366"/>
      <c r="Q18" s="402"/>
      <c r="R18" s="398">
        <f t="shared" si="2"/>
        <v>0</v>
      </c>
      <c r="S18" s="366"/>
      <c r="T18" s="366"/>
      <c r="U18" s="367"/>
      <c r="V18" s="330">
        <f t="shared" si="3"/>
        <v>0</v>
      </c>
      <c r="W18" s="317"/>
    </row>
    <row r="19" spans="1:23" s="399" customFormat="1" ht="20" customHeight="1" x14ac:dyDescent="0.4">
      <c r="A19" s="403"/>
      <c r="B19" s="404"/>
      <c r="C19" s="371"/>
      <c r="D19" s="371"/>
      <c r="E19" s="372"/>
      <c r="F19" s="336">
        <f t="shared" si="4"/>
        <v>0</v>
      </c>
      <c r="G19" s="371"/>
      <c r="H19" s="371"/>
      <c r="I19" s="405"/>
      <c r="J19" s="398">
        <f t="shared" si="0"/>
        <v>0</v>
      </c>
      <c r="K19" s="371"/>
      <c r="L19" s="371"/>
      <c r="M19" s="372"/>
      <c r="N19" s="330">
        <f t="shared" si="1"/>
        <v>0</v>
      </c>
      <c r="O19" s="371"/>
      <c r="P19" s="371"/>
      <c r="Q19" s="405"/>
      <c r="R19" s="398">
        <f t="shared" si="2"/>
        <v>0</v>
      </c>
      <c r="S19" s="371"/>
      <c r="T19" s="371"/>
      <c r="U19" s="372"/>
      <c r="V19" s="330">
        <f t="shared" si="3"/>
        <v>0</v>
      </c>
      <c r="W19" s="406"/>
    </row>
    <row r="20" spans="1:23" s="392" customFormat="1" ht="20" customHeight="1" x14ac:dyDescent="0.4">
      <c r="A20" s="355" t="s">
        <v>109</v>
      </c>
      <c r="B20" s="408"/>
      <c r="C20" s="356">
        <f>SUM(C16:C19)</f>
        <v>0</v>
      </c>
      <c r="D20" s="356">
        <f>SUM(D16:D19)</f>
        <v>0</v>
      </c>
      <c r="E20" s="357">
        <f>SUM(E16:E19)</f>
        <v>0</v>
      </c>
      <c r="F20" s="356">
        <f t="shared" ref="F20:U20" si="7">SUM(F16:F19)</f>
        <v>0</v>
      </c>
      <c r="G20" s="356">
        <f t="shared" si="7"/>
        <v>0</v>
      </c>
      <c r="H20" s="356">
        <f t="shared" si="7"/>
        <v>0</v>
      </c>
      <c r="I20" s="357">
        <f t="shared" si="7"/>
        <v>0</v>
      </c>
      <c r="J20" s="356">
        <f t="shared" si="7"/>
        <v>0</v>
      </c>
      <c r="K20" s="376">
        <f t="shared" si="7"/>
        <v>0</v>
      </c>
      <c r="L20" s="356">
        <f t="shared" si="7"/>
        <v>0</v>
      </c>
      <c r="M20" s="357">
        <f t="shared" si="7"/>
        <v>0</v>
      </c>
      <c r="N20" s="356">
        <f t="shared" si="7"/>
        <v>0</v>
      </c>
      <c r="O20" s="356">
        <f t="shared" si="7"/>
        <v>0</v>
      </c>
      <c r="P20" s="356">
        <f t="shared" si="7"/>
        <v>0</v>
      </c>
      <c r="Q20" s="357">
        <f t="shared" si="7"/>
        <v>0</v>
      </c>
      <c r="R20" s="356">
        <f t="shared" si="7"/>
        <v>0</v>
      </c>
      <c r="S20" s="356">
        <f t="shared" si="7"/>
        <v>0</v>
      </c>
      <c r="T20" s="356">
        <f t="shared" si="7"/>
        <v>0</v>
      </c>
      <c r="U20" s="357">
        <f t="shared" si="7"/>
        <v>0</v>
      </c>
      <c r="V20" s="411">
        <f t="shared" si="3"/>
        <v>0</v>
      </c>
      <c r="W20" s="414"/>
    </row>
    <row r="21" spans="1:23" s="392" customFormat="1" ht="20" customHeight="1" thickBot="1" x14ac:dyDescent="0.45">
      <c r="A21" s="93" t="s">
        <v>326</v>
      </c>
      <c r="B21" s="415"/>
      <c r="C21" s="379">
        <f>C10+C15+C20</f>
        <v>0</v>
      </c>
      <c r="D21" s="379">
        <f>D10+D15+D20</f>
        <v>0</v>
      </c>
      <c r="E21" s="380">
        <f>E10+E15+E20</f>
        <v>0</v>
      </c>
      <c r="F21" s="379">
        <f t="shared" ref="F21:U21" si="8">F10+F15+F20</f>
        <v>0</v>
      </c>
      <c r="G21" s="381">
        <f t="shared" si="8"/>
        <v>0</v>
      </c>
      <c r="H21" s="379">
        <f t="shared" si="8"/>
        <v>0</v>
      </c>
      <c r="I21" s="380">
        <f t="shared" si="8"/>
        <v>0</v>
      </c>
      <c r="J21" s="379">
        <f t="shared" si="8"/>
        <v>0</v>
      </c>
      <c r="K21" s="381">
        <f t="shared" si="8"/>
        <v>0</v>
      </c>
      <c r="L21" s="379">
        <f t="shared" si="8"/>
        <v>0</v>
      </c>
      <c r="M21" s="380">
        <f t="shared" si="8"/>
        <v>0</v>
      </c>
      <c r="N21" s="379">
        <f t="shared" si="8"/>
        <v>0</v>
      </c>
      <c r="O21" s="381">
        <f t="shared" si="8"/>
        <v>0</v>
      </c>
      <c r="P21" s="379">
        <f t="shared" si="8"/>
        <v>0</v>
      </c>
      <c r="Q21" s="380">
        <f t="shared" si="8"/>
        <v>0</v>
      </c>
      <c r="R21" s="379">
        <f t="shared" si="8"/>
        <v>0</v>
      </c>
      <c r="S21" s="379">
        <f t="shared" si="8"/>
        <v>0</v>
      </c>
      <c r="T21" s="379">
        <f t="shared" si="8"/>
        <v>0</v>
      </c>
      <c r="U21" s="380">
        <f t="shared" si="8"/>
        <v>0</v>
      </c>
      <c r="V21" s="416">
        <f t="shared" si="3"/>
        <v>0</v>
      </c>
      <c r="W21" s="417"/>
    </row>
    <row r="22" spans="1:23" ht="20" customHeight="1" x14ac:dyDescent="0.25">
      <c r="B22" s="419"/>
      <c r="C22" s="419"/>
      <c r="D22" s="419"/>
      <c r="E22" s="419"/>
      <c r="F22" s="419"/>
      <c r="G22" s="419"/>
      <c r="H22" s="419"/>
      <c r="I22" s="419"/>
      <c r="J22" s="419"/>
      <c r="K22" s="419"/>
      <c r="L22" s="419"/>
      <c r="M22" s="419"/>
      <c r="N22" s="419"/>
      <c r="O22" s="419"/>
      <c r="P22" s="419"/>
      <c r="Q22" s="419"/>
      <c r="R22" s="419"/>
      <c r="S22" s="419"/>
      <c r="T22" s="419"/>
      <c r="U22" s="419"/>
      <c r="V22" s="419"/>
    </row>
    <row r="23" spans="1:23" s="399" customFormat="1" ht="20" customHeight="1" x14ac:dyDescent="0.4">
      <c r="A23" s="399" t="s">
        <v>327</v>
      </c>
    </row>
  </sheetData>
  <mergeCells count="9">
    <mergeCell ref="A1:W1"/>
    <mergeCell ref="A3:A4"/>
    <mergeCell ref="B3:B4"/>
    <mergeCell ref="C3:C4"/>
    <mergeCell ref="D3:D4"/>
    <mergeCell ref="E3:E4"/>
    <mergeCell ref="F3:U3"/>
    <mergeCell ref="V3:V4"/>
    <mergeCell ref="W3:W4"/>
  </mergeCells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8"/>
  <sheetViews>
    <sheetView showGridLines="0" workbookViewId="0">
      <selection activeCell="W8" sqref="W8"/>
    </sheetView>
  </sheetViews>
  <sheetFormatPr defaultColWidth="9.81640625" defaultRowHeight="14" x14ac:dyDescent="0.25"/>
  <cols>
    <col min="1" max="1" width="31.54296875" style="441" customWidth="1"/>
    <col min="2" max="2" width="10.453125" style="418" customWidth="1"/>
    <col min="3" max="15" width="9.36328125" style="418" customWidth="1"/>
    <col min="16" max="18" width="8.7265625" style="418" customWidth="1"/>
    <col min="19" max="19" width="17.453125" style="418" customWidth="1"/>
    <col min="20" max="20" width="14.54296875" style="418" customWidth="1"/>
    <col min="21" max="21" width="13.36328125" style="418" customWidth="1"/>
    <col min="22" max="16384" width="9.81640625" style="418"/>
  </cols>
  <sheetData>
    <row r="1" spans="1:21" ht="24" x14ac:dyDescent="0.55000000000000004">
      <c r="A1" s="505" t="s">
        <v>328</v>
      </c>
      <c r="B1" s="506"/>
      <c r="C1" s="506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6"/>
      <c r="Q1" s="506"/>
      <c r="R1" s="506"/>
      <c r="S1" s="506"/>
      <c r="T1" s="506"/>
      <c r="U1" s="506"/>
    </row>
    <row r="2" spans="1:21" s="44" customFormat="1" ht="23.5" customHeight="1" thickBot="1" x14ac:dyDescent="0.3">
      <c r="A2" s="44" t="s">
        <v>1</v>
      </c>
      <c r="K2" s="44" t="s">
        <v>2</v>
      </c>
      <c r="S2" s="44" t="s">
        <v>3</v>
      </c>
    </row>
    <row r="3" spans="1:21" s="420" customFormat="1" ht="20" customHeight="1" x14ac:dyDescent="0.25">
      <c r="A3" s="493" t="s">
        <v>295</v>
      </c>
      <c r="B3" s="466" t="s">
        <v>296</v>
      </c>
      <c r="C3" s="507" t="s">
        <v>329</v>
      </c>
      <c r="D3" s="507"/>
      <c r="E3" s="507"/>
      <c r="F3" s="507"/>
      <c r="G3" s="507"/>
      <c r="H3" s="507"/>
      <c r="I3" s="507"/>
      <c r="J3" s="507"/>
      <c r="K3" s="507"/>
      <c r="L3" s="507"/>
      <c r="M3" s="507"/>
      <c r="N3" s="507"/>
      <c r="O3" s="507"/>
      <c r="P3" s="507"/>
      <c r="Q3" s="507"/>
      <c r="R3" s="507"/>
      <c r="S3" s="508" t="s">
        <v>22</v>
      </c>
      <c r="T3" s="472" t="s">
        <v>298</v>
      </c>
      <c r="U3" s="488" t="s">
        <v>81</v>
      </c>
    </row>
    <row r="4" spans="1:21" s="420" customFormat="1" ht="20" customHeight="1" thickBot="1" x14ac:dyDescent="0.3">
      <c r="A4" s="494"/>
      <c r="B4" s="467"/>
      <c r="C4" s="208" t="s">
        <v>276</v>
      </c>
      <c r="D4" s="209" t="s">
        <v>83</v>
      </c>
      <c r="E4" s="209" t="s">
        <v>84</v>
      </c>
      <c r="F4" s="211" t="s">
        <v>85</v>
      </c>
      <c r="G4" s="212" t="s">
        <v>277</v>
      </c>
      <c r="H4" s="209" t="s">
        <v>87</v>
      </c>
      <c r="I4" s="209" t="s">
        <v>88</v>
      </c>
      <c r="J4" s="210" t="s">
        <v>89</v>
      </c>
      <c r="K4" s="208" t="s">
        <v>278</v>
      </c>
      <c r="L4" s="209" t="s">
        <v>91</v>
      </c>
      <c r="M4" s="209" t="s">
        <v>92</v>
      </c>
      <c r="N4" s="211" t="s">
        <v>93</v>
      </c>
      <c r="O4" s="212" t="s">
        <v>279</v>
      </c>
      <c r="P4" s="209" t="s">
        <v>95</v>
      </c>
      <c r="Q4" s="209" t="s">
        <v>96</v>
      </c>
      <c r="R4" s="211" t="s">
        <v>97</v>
      </c>
      <c r="S4" s="509"/>
      <c r="T4" s="473"/>
      <c r="U4" s="489"/>
    </row>
    <row r="5" spans="1:21" s="399" customFormat="1" ht="20" customHeight="1" thickTop="1" x14ac:dyDescent="0.4">
      <c r="A5" s="421" t="s">
        <v>330</v>
      </c>
      <c r="B5" s="422"/>
      <c r="C5" s="336">
        <f>SUM(D5:F5)</f>
        <v>0</v>
      </c>
      <c r="D5" s="395"/>
      <c r="E5" s="395"/>
      <c r="F5" s="397"/>
      <c r="G5" s="333">
        <f>SUM(H5:J5)</f>
        <v>0</v>
      </c>
      <c r="H5" s="395"/>
      <c r="I5" s="395"/>
      <c r="J5" s="396"/>
      <c r="K5" s="336">
        <f>SUM(L5:N5)</f>
        <v>0</v>
      </c>
      <c r="L5" s="395"/>
      <c r="M5" s="395"/>
      <c r="N5" s="397"/>
      <c r="O5" s="333">
        <f>SUM(P5:R5)</f>
        <v>0</v>
      </c>
      <c r="P5" s="395"/>
      <c r="Q5" s="395"/>
      <c r="R5" s="396"/>
      <c r="S5" s="330">
        <f>C5+G5+K5+O5</f>
        <v>0</v>
      </c>
      <c r="T5" s="394"/>
      <c r="U5" s="307"/>
    </row>
    <row r="6" spans="1:21" s="399" customFormat="1" ht="20" customHeight="1" x14ac:dyDescent="0.4">
      <c r="A6" s="338">
        <v>1</v>
      </c>
      <c r="B6" s="423"/>
      <c r="C6" s="336">
        <f>SUM(D6:F6)</f>
        <v>0</v>
      </c>
      <c r="D6" s="366"/>
      <c r="E6" s="366"/>
      <c r="F6" s="402"/>
      <c r="G6" s="333">
        <f>SUM(H6:J6)</f>
        <v>0</v>
      </c>
      <c r="H6" s="366"/>
      <c r="I6" s="366"/>
      <c r="J6" s="367"/>
      <c r="K6" s="336">
        <f>SUM(L6:N6)</f>
        <v>0</v>
      </c>
      <c r="L6" s="366"/>
      <c r="M6" s="366"/>
      <c r="N6" s="402"/>
      <c r="O6" s="333">
        <f>SUM(P6:R6)</f>
        <v>0</v>
      </c>
      <c r="P6" s="366"/>
      <c r="Q6" s="366"/>
      <c r="R6" s="367"/>
      <c r="S6" s="330">
        <f>C6+G6+K6+O6</f>
        <v>0</v>
      </c>
      <c r="T6" s="401"/>
      <c r="U6" s="317"/>
    </row>
    <row r="7" spans="1:21" s="399" customFormat="1" ht="20" customHeight="1" x14ac:dyDescent="0.4">
      <c r="A7" s="338">
        <v>2</v>
      </c>
      <c r="B7" s="423"/>
      <c r="C7" s="336">
        <f>SUM(D7:F7)</f>
        <v>0</v>
      </c>
      <c r="D7" s="366"/>
      <c r="E7" s="366"/>
      <c r="F7" s="402"/>
      <c r="G7" s="333">
        <f>SUM(H7:J7)</f>
        <v>0</v>
      </c>
      <c r="H7" s="366"/>
      <c r="I7" s="366"/>
      <c r="J7" s="367"/>
      <c r="K7" s="336">
        <f>SUM(L7:N7)</f>
        <v>0</v>
      </c>
      <c r="L7" s="366"/>
      <c r="M7" s="366"/>
      <c r="N7" s="402"/>
      <c r="O7" s="333">
        <f>SUM(P7:R7)</f>
        <v>0</v>
      </c>
      <c r="P7" s="366"/>
      <c r="Q7" s="366"/>
      <c r="R7" s="367"/>
      <c r="S7" s="330">
        <f>C7+G7+K7+O7</f>
        <v>0</v>
      </c>
      <c r="T7" s="401"/>
      <c r="U7" s="317"/>
    </row>
    <row r="8" spans="1:21" s="399" customFormat="1" ht="20" customHeight="1" x14ac:dyDescent="0.4">
      <c r="A8" s="424" t="s">
        <v>331</v>
      </c>
      <c r="B8" s="357">
        <f>SUM(B5:B7)</f>
        <v>0</v>
      </c>
      <c r="C8" s="356">
        <f t="shared" ref="C8:R8" si="0">SUM(C5:C7)</f>
        <v>0</v>
      </c>
      <c r="D8" s="356">
        <f t="shared" si="0"/>
        <v>0</v>
      </c>
      <c r="E8" s="356">
        <f t="shared" si="0"/>
        <v>0</v>
      </c>
      <c r="F8" s="357">
        <f t="shared" si="0"/>
        <v>0</v>
      </c>
      <c r="G8" s="356">
        <f t="shared" si="0"/>
        <v>0</v>
      </c>
      <c r="H8" s="356">
        <f t="shared" si="0"/>
        <v>0</v>
      </c>
      <c r="I8" s="356">
        <f t="shared" si="0"/>
        <v>0</v>
      </c>
      <c r="J8" s="357">
        <f t="shared" si="0"/>
        <v>0</v>
      </c>
      <c r="K8" s="356">
        <f t="shared" si="0"/>
        <v>0</v>
      </c>
      <c r="L8" s="356">
        <f t="shared" si="0"/>
        <v>0</v>
      </c>
      <c r="M8" s="356">
        <f t="shared" si="0"/>
        <v>0</v>
      </c>
      <c r="N8" s="357">
        <f t="shared" si="0"/>
        <v>0</v>
      </c>
      <c r="O8" s="356">
        <f t="shared" si="0"/>
        <v>0</v>
      </c>
      <c r="P8" s="356">
        <f t="shared" si="0"/>
        <v>0</v>
      </c>
      <c r="Q8" s="356">
        <f t="shared" si="0"/>
        <v>0</v>
      </c>
      <c r="R8" s="357">
        <f t="shared" si="0"/>
        <v>0</v>
      </c>
      <c r="S8" s="411">
        <f>C8+G8+K8+O8</f>
        <v>0</v>
      </c>
      <c r="T8" s="425"/>
      <c r="U8" s="426"/>
    </row>
    <row r="9" spans="1:21" s="399" customFormat="1" ht="20" customHeight="1" x14ac:dyDescent="0.4">
      <c r="A9" s="421" t="s">
        <v>332</v>
      </c>
      <c r="B9" s="422"/>
      <c r="C9" s="330">
        <f>SUM(D9:F9)</f>
        <v>0</v>
      </c>
      <c r="D9" s="395"/>
      <c r="E9" s="395"/>
      <c r="F9" s="397"/>
      <c r="G9" s="333">
        <f>SUM(H9:J9)</f>
        <v>0</v>
      </c>
      <c r="H9" s="395"/>
      <c r="I9" s="395"/>
      <c r="J9" s="396"/>
      <c r="K9" s="330">
        <f>SUM(L9:N9)</f>
        <v>0</v>
      </c>
      <c r="L9" s="395"/>
      <c r="M9" s="395"/>
      <c r="N9" s="397"/>
      <c r="O9" s="398">
        <f>SUM(P9:R9)</f>
        <v>0</v>
      </c>
      <c r="P9" s="395"/>
      <c r="Q9" s="395"/>
      <c r="R9" s="396"/>
      <c r="S9" s="330">
        <f t="shared" ref="S9:S20" si="1">C9+G9+K9+O9</f>
        <v>0</v>
      </c>
      <c r="T9" s="394"/>
      <c r="U9" s="307"/>
    </row>
    <row r="10" spans="1:21" s="399" customFormat="1" ht="20" customHeight="1" x14ac:dyDescent="0.4">
      <c r="A10" s="338">
        <v>1</v>
      </c>
      <c r="B10" s="427"/>
      <c r="C10" s="330">
        <f>SUM(D10:F10)</f>
        <v>0</v>
      </c>
      <c r="D10" s="366"/>
      <c r="E10" s="366"/>
      <c r="F10" s="402"/>
      <c r="G10" s="333">
        <f>SUM(H10:J10)</f>
        <v>0</v>
      </c>
      <c r="H10" s="366"/>
      <c r="I10" s="366"/>
      <c r="J10" s="367"/>
      <c r="K10" s="330">
        <f>SUM(L10:N10)</f>
        <v>0</v>
      </c>
      <c r="L10" s="366"/>
      <c r="M10" s="366"/>
      <c r="N10" s="402"/>
      <c r="O10" s="398">
        <f>SUM(P10:R10)</f>
        <v>0</v>
      </c>
      <c r="P10" s="366"/>
      <c r="Q10" s="366"/>
      <c r="R10" s="367"/>
      <c r="S10" s="330">
        <f t="shared" si="1"/>
        <v>0</v>
      </c>
      <c r="T10" s="401"/>
      <c r="U10" s="317"/>
    </row>
    <row r="11" spans="1:21" s="399" customFormat="1" ht="20" customHeight="1" x14ac:dyDescent="0.4">
      <c r="A11" s="338">
        <v>2</v>
      </c>
      <c r="B11" s="427"/>
      <c r="C11" s="330">
        <f>SUM(D11:F11)</f>
        <v>0</v>
      </c>
      <c r="D11" s="366"/>
      <c r="E11" s="366"/>
      <c r="F11" s="402"/>
      <c r="G11" s="333">
        <f>SUM(H11:J11)</f>
        <v>0</v>
      </c>
      <c r="H11" s="366"/>
      <c r="I11" s="366"/>
      <c r="J11" s="367"/>
      <c r="K11" s="330">
        <f>SUM(L11:N11)</f>
        <v>0</v>
      </c>
      <c r="L11" s="366"/>
      <c r="M11" s="366"/>
      <c r="N11" s="402"/>
      <c r="O11" s="398">
        <f>SUM(P11:R11)</f>
        <v>0</v>
      </c>
      <c r="P11" s="366"/>
      <c r="Q11" s="366"/>
      <c r="R11" s="367"/>
      <c r="S11" s="330">
        <f t="shared" si="1"/>
        <v>0</v>
      </c>
      <c r="T11" s="401"/>
      <c r="U11" s="317"/>
    </row>
    <row r="12" spans="1:21" s="399" customFormat="1" ht="20" customHeight="1" x14ac:dyDescent="0.4">
      <c r="A12" s="424" t="s">
        <v>331</v>
      </c>
      <c r="B12" s="357">
        <f>SUM(B9:B11)</f>
        <v>0</v>
      </c>
      <c r="C12" s="356">
        <f t="shared" ref="C12:R12" si="2">SUM(C9:C11)</f>
        <v>0</v>
      </c>
      <c r="D12" s="356">
        <f t="shared" si="2"/>
        <v>0</v>
      </c>
      <c r="E12" s="356">
        <f t="shared" si="2"/>
        <v>0</v>
      </c>
      <c r="F12" s="357">
        <f t="shared" si="2"/>
        <v>0</v>
      </c>
      <c r="G12" s="356">
        <f t="shared" si="2"/>
        <v>0</v>
      </c>
      <c r="H12" s="356">
        <f t="shared" si="2"/>
        <v>0</v>
      </c>
      <c r="I12" s="356">
        <f t="shared" si="2"/>
        <v>0</v>
      </c>
      <c r="J12" s="357">
        <f t="shared" si="2"/>
        <v>0</v>
      </c>
      <c r="K12" s="356">
        <f t="shared" si="2"/>
        <v>0</v>
      </c>
      <c r="L12" s="356">
        <f t="shared" si="2"/>
        <v>0</v>
      </c>
      <c r="M12" s="356">
        <f t="shared" si="2"/>
        <v>0</v>
      </c>
      <c r="N12" s="357">
        <f t="shared" si="2"/>
        <v>0</v>
      </c>
      <c r="O12" s="356">
        <f t="shared" si="2"/>
        <v>0</v>
      </c>
      <c r="P12" s="356">
        <f t="shared" si="2"/>
        <v>0</v>
      </c>
      <c r="Q12" s="356">
        <f t="shared" si="2"/>
        <v>0</v>
      </c>
      <c r="R12" s="357">
        <f t="shared" si="2"/>
        <v>0</v>
      </c>
      <c r="S12" s="428">
        <f t="shared" si="1"/>
        <v>0</v>
      </c>
      <c r="T12" s="429"/>
      <c r="U12" s="412"/>
    </row>
    <row r="13" spans="1:21" s="399" customFormat="1" ht="20" customHeight="1" x14ac:dyDescent="0.4">
      <c r="A13" s="421" t="s">
        <v>333</v>
      </c>
      <c r="B13" s="422"/>
      <c r="C13" s="336">
        <f>SUM(D13:F13)</f>
        <v>0</v>
      </c>
      <c r="D13" s="395"/>
      <c r="E13" s="395"/>
      <c r="F13" s="397"/>
      <c r="G13" s="398">
        <f>SUM(H13:J13)</f>
        <v>0</v>
      </c>
      <c r="H13" s="395"/>
      <c r="I13" s="395"/>
      <c r="J13" s="396"/>
      <c r="K13" s="336">
        <f>SUM(L13:N13)</f>
        <v>0</v>
      </c>
      <c r="L13" s="395"/>
      <c r="M13" s="395"/>
      <c r="N13" s="397"/>
      <c r="O13" s="333">
        <f>SUM(P13:R13)</f>
        <v>0</v>
      </c>
      <c r="P13" s="395"/>
      <c r="Q13" s="395"/>
      <c r="R13" s="396"/>
      <c r="S13" s="430">
        <f t="shared" si="1"/>
        <v>0</v>
      </c>
      <c r="T13" s="394"/>
      <c r="U13" s="307"/>
    </row>
    <row r="14" spans="1:21" s="399" customFormat="1" ht="20" customHeight="1" x14ac:dyDescent="0.4">
      <c r="A14" s="338">
        <v>1</v>
      </c>
      <c r="B14" s="427"/>
      <c r="C14" s="336">
        <f>SUM(D14:F14)</f>
        <v>0</v>
      </c>
      <c r="D14" s="366"/>
      <c r="E14" s="366"/>
      <c r="F14" s="402"/>
      <c r="G14" s="398">
        <f>SUM(H14:J14)</f>
        <v>0</v>
      </c>
      <c r="H14" s="366"/>
      <c r="I14" s="366"/>
      <c r="J14" s="367"/>
      <c r="K14" s="336">
        <f>SUM(L14:N14)</f>
        <v>0</v>
      </c>
      <c r="L14" s="366"/>
      <c r="M14" s="366"/>
      <c r="N14" s="402"/>
      <c r="O14" s="333">
        <f>SUM(P14:R14)</f>
        <v>0</v>
      </c>
      <c r="P14" s="366"/>
      <c r="Q14" s="366"/>
      <c r="R14" s="367"/>
      <c r="S14" s="330">
        <f t="shared" si="1"/>
        <v>0</v>
      </c>
      <c r="T14" s="401"/>
      <c r="U14" s="317"/>
    </row>
    <row r="15" spans="1:21" s="399" customFormat="1" ht="20" customHeight="1" x14ac:dyDescent="0.4">
      <c r="A15" s="338">
        <v>2</v>
      </c>
      <c r="B15" s="427"/>
      <c r="C15" s="336">
        <f>SUM(D15:F15)</f>
        <v>0</v>
      </c>
      <c r="D15" s="366"/>
      <c r="E15" s="366"/>
      <c r="F15" s="402"/>
      <c r="G15" s="398">
        <f>SUM(H15:J15)</f>
        <v>0</v>
      </c>
      <c r="H15" s="366"/>
      <c r="I15" s="366"/>
      <c r="J15" s="367"/>
      <c r="K15" s="336">
        <f>SUM(L15:N15)</f>
        <v>0</v>
      </c>
      <c r="L15" s="366"/>
      <c r="M15" s="366"/>
      <c r="N15" s="402"/>
      <c r="O15" s="333">
        <f>SUM(P15:R15)</f>
        <v>0</v>
      </c>
      <c r="P15" s="366"/>
      <c r="Q15" s="366"/>
      <c r="R15" s="367"/>
      <c r="S15" s="330">
        <f t="shared" si="1"/>
        <v>0</v>
      </c>
      <c r="T15" s="401"/>
      <c r="U15" s="317"/>
    </row>
    <row r="16" spans="1:21" s="399" customFormat="1" ht="20" customHeight="1" x14ac:dyDescent="0.4">
      <c r="A16" s="424" t="s">
        <v>334</v>
      </c>
      <c r="B16" s="357">
        <f>SUM(B13:B15)</f>
        <v>0</v>
      </c>
      <c r="C16" s="356">
        <f t="shared" ref="C16:R16" si="3">SUM(C13:C15)</f>
        <v>0</v>
      </c>
      <c r="D16" s="356">
        <f t="shared" si="3"/>
        <v>0</v>
      </c>
      <c r="E16" s="356">
        <f t="shared" si="3"/>
        <v>0</v>
      </c>
      <c r="F16" s="357">
        <f t="shared" si="3"/>
        <v>0</v>
      </c>
      <c r="G16" s="356">
        <f t="shared" si="3"/>
        <v>0</v>
      </c>
      <c r="H16" s="356">
        <f t="shared" si="3"/>
        <v>0</v>
      </c>
      <c r="I16" s="356">
        <f t="shared" si="3"/>
        <v>0</v>
      </c>
      <c r="J16" s="357">
        <f t="shared" si="3"/>
        <v>0</v>
      </c>
      <c r="K16" s="356">
        <f t="shared" si="3"/>
        <v>0</v>
      </c>
      <c r="L16" s="356">
        <f t="shared" si="3"/>
        <v>0</v>
      </c>
      <c r="M16" s="356">
        <f t="shared" si="3"/>
        <v>0</v>
      </c>
      <c r="N16" s="357">
        <f t="shared" si="3"/>
        <v>0</v>
      </c>
      <c r="O16" s="356">
        <f t="shared" si="3"/>
        <v>0</v>
      </c>
      <c r="P16" s="356">
        <f t="shared" si="3"/>
        <v>0</v>
      </c>
      <c r="Q16" s="356">
        <f t="shared" si="3"/>
        <v>0</v>
      </c>
      <c r="R16" s="357">
        <f t="shared" si="3"/>
        <v>0</v>
      </c>
      <c r="S16" s="411">
        <f t="shared" si="1"/>
        <v>0</v>
      </c>
      <c r="T16" s="425"/>
      <c r="U16" s="426"/>
    </row>
    <row r="17" spans="1:21" s="399" customFormat="1" ht="20" customHeight="1" x14ac:dyDescent="0.4">
      <c r="A17" s="421" t="s">
        <v>335</v>
      </c>
      <c r="B17" s="422"/>
      <c r="C17" s="431"/>
      <c r="D17" s="395"/>
      <c r="E17" s="395"/>
      <c r="F17" s="397"/>
      <c r="G17" s="432"/>
      <c r="H17" s="395"/>
      <c r="I17" s="395"/>
      <c r="J17" s="396"/>
      <c r="K17" s="431"/>
      <c r="L17" s="395"/>
      <c r="M17" s="395"/>
      <c r="N17" s="397"/>
      <c r="O17" s="432"/>
      <c r="P17" s="395"/>
      <c r="Q17" s="395"/>
      <c r="R17" s="396"/>
      <c r="S17" s="330">
        <f t="shared" si="1"/>
        <v>0</v>
      </c>
      <c r="T17" s="394"/>
      <c r="U17" s="307"/>
    </row>
    <row r="18" spans="1:21" s="399" customFormat="1" ht="20" customHeight="1" x14ac:dyDescent="0.4">
      <c r="A18" s="338">
        <v>1</v>
      </c>
      <c r="B18" s="427"/>
      <c r="C18" s="433"/>
      <c r="D18" s="366"/>
      <c r="E18" s="366"/>
      <c r="F18" s="402"/>
      <c r="G18" s="434"/>
      <c r="H18" s="366"/>
      <c r="I18" s="366"/>
      <c r="J18" s="367"/>
      <c r="K18" s="433"/>
      <c r="L18" s="366"/>
      <c r="M18" s="366"/>
      <c r="N18" s="402"/>
      <c r="O18" s="434"/>
      <c r="P18" s="366"/>
      <c r="Q18" s="366"/>
      <c r="R18" s="367"/>
      <c r="S18" s="330">
        <f t="shared" si="1"/>
        <v>0</v>
      </c>
      <c r="T18" s="401"/>
      <c r="U18" s="317"/>
    </row>
    <row r="19" spans="1:21" s="399" customFormat="1" ht="20" customHeight="1" x14ac:dyDescent="0.4">
      <c r="A19" s="338">
        <v>2</v>
      </c>
      <c r="B19" s="423"/>
      <c r="C19" s="433"/>
      <c r="D19" s="435"/>
      <c r="E19" s="435"/>
      <c r="F19" s="436"/>
      <c r="G19" s="434"/>
      <c r="H19" s="435"/>
      <c r="I19" s="435"/>
      <c r="J19" s="423"/>
      <c r="K19" s="433"/>
      <c r="L19" s="435"/>
      <c r="M19" s="435"/>
      <c r="N19" s="436"/>
      <c r="O19" s="434"/>
      <c r="P19" s="435"/>
      <c r="Q19" s="435"/>
      <c r="R19" s="423"/>
      <c r="S19" s="330">
        <f t="shared" si="1"/>
        <v>0</v>
      </c>
      <c r="T19" s="401"/>
      <c r="U19" s="317"/>
    </row>
    <row r="20" spans="1:21" s="399" customFormat="1" ht="20" customHeight="1" x14ac:dyDescent="0.4">
      <c r="A20" s="424" t="s">
        <v>334</v>
      </c>
      <c r="B20" s="357">
        <f>SUM(B17:B19)</f>
        <v>0</v>
      </c>
      <c r="C20" s="356">
        <f t="shared" ref="C20:R20" si="4">SUM(C17:C19)</f>
        <v>0</v>
      </c>
      <c r="D20" s="356">
        <f t="shared" si="4"/>
        <v>0</v>
      </c>
      <c r="E20" s="356">
        <f t="shared" si="4"/>
        <v>0</v>
      </c>
      <c r="F20" s="357">
        <f t="shared" si="4"/>
        <v>0</v>
      </c>
      <c r="G20" s="356">
        <f t="shared" si="4"/>
        <v>0</v>
      </c>
      <c r="H20" s="356">
        <f t="shared" si="4"/>
        <v>0</v>
      </c>
      <c r="I20" s="356">
        <f t="shared" si="4"/>
        <v>0</v>
      </c>
      <c r="J20" s="357">
        <f t="shared" si="4"/>
        <v>0</v>
      </c>
      <c r="K20" s="356">
        <f t="shared" si="4"/>
        <v>0</v>
      </c>
      <c r="L20" s="356">
        <f t="shared" si="4"/>
        <v>0</v>
      </c>
      <c r="M20" s="356">
        <f t="shared" si="4"/>
        <v>0</v>
      </c>
      <c r="N20" s="357">
        <f t="shared" si="4"/>
        <v>0</v>
      </c>
      <c r="O20" s="356">
        <f t="shared" si="4"/>
        <v>0</v>
      </c>
      <c r="P20" s="356">
        <f t="shared" si="4"/>
        <v>0</v>
      </c>
      <c r="Q20" s="356">
        <f t="shared" si="4"/>
        <v>0</v>
      </c>
      <c r="R20" s="357">
        <f t="shared" si="4"/>
        <v>0</v>
      </c>
      <c r="S20" s="411">
        <f t="shared" si="1"/>
        <v>0</v>
      </c>
      <c r="T20" s="425"/>
      <c r="U20" s="426"/>
    </row>
    <row r="21" spans="1:21" s="399" customFormat="1" ht="20" customHeight="1" thickBot="1" x14ac:dyDescent="0.45">
      <c r="A21" s="93" t="s">
        <v>112</v>
      </c>
      <c r="B21" s="380">
        <f>B8+B12+B16+B20</f>
        <v>0</v>
      </c>
      <c r="C21" s="379">
        <f t="shared" ref="C21:S21" si="5">C8+C12+C16+C20</f>
        <v>0</v>
      </c>
      <c r="D21" s="379">
        <f t="shared" si="5"/>
        <v>0</v>
      </c>
      <c r="E21" s="379">
        <f t="shared" si="5"/>
        <v>0</v>
      </c>
      <c r="F21" s="380">
        <f t="shared" si="5"/>
        <v>0</v>
      </c>
      <c r="G21" s="379">
        <f t="shared" si="5"/>
        <v>0</v>
      </c>
      <c r="H21" s="379">
        <f t="shared" si="5"/>
        <v>0</v>
      </c>
      <c r="I21" s="379">
        <f t="shared" si="5"/>
        <v>0</v>
      </c>
      <c r="J21" s="380">
        <f t="shared" si="5"/>
        <v>0</v>
      </c>
      <c r="K21" s="379">
        <f t="shared" si="5"/>
        <v>0</v>
      </c>
      <c r="L21" s="379">
        <f t="shared" si="5"/>
        <v>0</v>
      </c>
      <c r="M21" s="379">
        <f t="shared" si="5"/>
        <v>0</v>
      </c>
      <c r="N21" s="380">
        <f t="shared" si="5"/>
        <v>0</v>
      </c>
      <c r="O21" s="379">
        <f t="shared" si="5"/>
        <v>0</v>
      </c>
      <c r="P21" s="379">
        <f t="shared" si="5"/>
        <v>0</v>
      </c>
      <c r="Q21" s="379">
        <f t="shared" si="5"/>
        <v>0</v>
      </c>
      <c r="R21" s="380">
        <f t="shared" si="5"/>
        <v>0</v>
      </c>
      <c r="S21" s="380">
        <f t="shared" si="5"/>
        <v>0</v>
      </c>
      <c r="T21" s="437"/>
      <c r="U21" s="438"/>
    </row>
    <row r="22" spans="1:21" s="399" customFormat="1" ht="14.5" x14ac:dyDescent="0.4">
      <c r="A22" s="439" t="s">
        <v>206</v>
      </c>
      <c r="T22" s="504"/>
      <c r="U22" s="504"/>
    </row>
    <row r="23" spans="1:21" s="399" customFormat="1" ht="14.5" x14ac:dyDescent="0.4">
      <c r="A23" s="440" t="s">
        <v>308</v>
      </c>
    </row>
    <row r="24" spans="1:21" s="399" customFormat="1" ht="14.5" x14ac:dyDescent="0.4">
      <c r="A24" s="440" t="s">
        <v>336</v>
      </c>
    </row>
    <row r="25" spans="1:21" s="399" customFormat="1" ht="14.5" x14ac:dyDescent="0.4">
      <c r="A25" s="440" t="s">
        <v>337</v>
      </c>
    </row>
    <row r="26" spans="1:21" s="399" customFormat="1" ht="14.5" x14ac:dyDescent="0.4">
      <c r="A26" s="440" t="s">
        <v>338</v>
      </c>
    </row>
    <row r="27" spans="1:21" s="399" customFormat="1" ht="14.5" x14ac:dyDescent="0.4">
      <c r="A27" s="440" t="s">
        <v>339</v>
      </c>
    </row>
    <row r="28" spans="1:21" s="399" customFormat="1" ht="14.5" x14ac:dyDescent="0.4">
      <c r="A28" s="392"/>
    </row>
  </sheetData>
  <mergeCells count="8">
    <mergeCell ref="T22:U22"/>
    <mergeCell ref="A1:U1"/>
    <mergeCell ref="A3:A4"/>
    <mergeCell ref="B3:B4"/>
    <mergeCell ref="C3:R3"/>
    <mergeCell ref="S3:S4"/>
    <mergeCell ref="T3:T4"/>
    <mergeCell ref="U3:U4"/>
  </mergeCells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6"/>
  <sheetViews>
    <sheetView showGridLines="0" tabSelected="1" workbookViewId="0">
      <selection activeCell="E16" sqref="E16"/>
    </sheetView>
  </sheetViews>
  <sheetFormatPr defaultRowHeight="14" x14ac:dyDescent="0.25"/>
  <cols>
    <col min="1" max="1" width="19.26953125" customWidth="1"/>
  </cols>
  <sheetData>
    <row r="1" spans="1:22" ht="24" x14ac:dyDescent="0.25">
      <c r="A1" s="511" t="s">
        <v>340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</row>
    <row r="2" spans="1:22" ht="22.5" customHeight="1" thickBot="1" x14ac:dyDescent="0.3">
      <c r="A2" s="442" t="s">
        <v>1</v>
      </c>
      <c r="B2" s="44"/>
      <c r="C2" s="44"/>
      <c r="D2" s="44"/>
      <c r="E2" s="44"/>
      <c r="F2" s="44"/>
      <c r="G2" s="44"/>
      <c r="H2" s="44"/>
      <c r="I2" s="44"/>
      <c r="J2" s="44" t="s">
        <v>2</v>
      </c>
      <c r="K2" s="44"/>
      <c r="L2" s="44"/>
      <c r="M2" s="44"/>
      <c r="N2" s="44"/>
      <c r="O2" s="44"/>
      <c r="P2" s="44"/>
      <c r="Q2" s="44"/>
      <c r="R2" s="44"/>
      <c r="S2" s="44" t="s">
        <v>3</v>
      </c>
      <c r="T2" s="44"/>
      <c r="U2" s="44"/>
      <c r="V2" s="44"/>
    </row>
    <row r="3" spans="1:22" ht="20" customHeight="1" x14ac:dyDescent="0.25">
      <c r="A3" s="466" t="s">
        <v>4</v>
      </c>
      <c r="B3" s="498" t="s">
        <v>211</v>
      </c>
      <c r="C3" s="498"/>
      <c r="D3" s="498"/>
      <c r="E3" s="498"/>
      <c r="F3" s="498"/>
      <c r="G3" s="498"/>
      <c r="H3" s="498"/>
      <c r="I3" s="498"/>
      <c r="J3" s="498"/>
      <c r="K3" s="498"/>
      <c r="L3" s="498"/>
      <c r="M3" s="498"/>
      <c r="N3" s="498"/>
      <c r="O3" s="498"/>
      <c r="P3" s="498"/>
      <c r="Q3" s="498"/>
      <c r="R3" s="508" t="s">
        <v>341</v>
      </c>
      <c r="S3" s="484" t="s">
        <v>119</v>
      </c>
      <c r="T3" s="484" t="s">
        <v>120</v>
      </c>
      <c r="U3" s="472" t="s">
        <v>342</v>
      </c>
      <c r="V3" s="488" t="s">
        <v>81</v>
      </c>
    </row>
    <row r="4" spans="1:22" ht="20" customHeight="1" thickBot="1" x14ac:dyDescent="0.3">
      <c r="A4" s="467"/>
      <c r="B4" s="208" t="s">
        <v>276</v>
      </c>
      <c r="C4" s="209" t="s">
        <v>83</v>
      </c>
      <c r="D4" s="209" t="s">
        <v>84</v>
      </c>
      <c r="E4" s="210" t="s">
        <v>85</v>
      </c>
      <c r="F4" s="208" t="s">
        <v>277</v>
      </c>
      <c r="G4" s="209" t="s">
        <v>87</v>
      </c>
      <c r="H4" s="209" t="s">
        <v>88</v>
      </c>
      <c r="I4" s="211" t="s">
        <v>89</v>
      </c>
      <c r="J4" s="212" t="s">
        <v>278</v>
      </c>
      <c r="K4" s="209" t="s">
        <v>91</v>
      </c>
      <c r="L4" s="209" t="s">
        <v>92</v>
      </c>
      <c r="M4" s="210" t="s">
        <v>93</v>
      </c>
      <c r="N4" s="208" t="s">
        <v>279</v>
      </c>
      <c r="O4" s="209" t="s">
        <v>95</v>
      </c>
      <c r="P4" s="209" t="s">
        <v>96</v>
      </c>
      <c r="Q4" s="211" t="s">
        <v>97</v>
      </c>
      <c r="R4" s="509"/>
      <c r="S4" s="485"/>
      <c r="T4" s="485"/>
      <c r="U4" s="473"/>
      <c r="V4" s="489"/>
    </row>
    <row r="5" spans="1:22" ht="20" customHeight="1" thickTop="1" x14ac:dyDescent="0.25">
      <c r="A5" s="443" t="s">
        <v>343</v>
      </c>
      <c r="B5" s="336">
        <f>SUM(C5:E5)</f>
        <v>0</v>
      </c>
      <c r="C5" s="334"/>
      <c r="D5" s="334"/>
      <c r="E5" s="335"/>
      <c r="F5" s="336">
        <f>SUM(G5:I5)</f>
        <v>0</v>
      </c>
      <c r="G5" s="334"/>
      <c r="H5" s="334"/>
      <c r="I5" s="444"/>
      <c r="J5" s="333">
        <f>SUM(K5:M5)</f>
        <v>0</v>
      </c>
      <c r="K5" s="334"/>
      <c r="L5" s="334"/>
      <c r="M5" s="335"/>
      <c r="N5" s="336">
        <f>SUM(O5:Q5)</f>
        <v>0</v>
      </c>
      <c r="O5" s="334"/>
      <c r="P5" s="334"/>
      <c r="Q5" s="444"/>
      <c r="R5" s="333">
        <f>B5+F5+J5+N5</f>
        <v>0</v>
      </c>
      <c r="S5" s="334"/>
      <c r="T5" s="334">
        <f>R5-S5</f>
        <v>0</v>
      </c>
      <c r="U5" s="445" t="e">
        <f>T5/R5</f>
        <v>#DIV/0!</v>
      </c>
      <c r="V5" s="222"/>
    </row>
    <row r="6" spans="1:22" ht="20" customHeight="1" x14ac:dyDescent="0.25">
      <c r="A6" s="446" t="s">
        <v>344</v>
      </c>
      <c r="B6" s="336">
        <f t="shared" ref="B6:B12" si="0">SUM(C6:E6)</f>
        <v>0</v>
      </c>
      <c r="C6" s="343"/>
      <c r="D6" s="343"/>
      <c r="E6" s="344"/>
      <c r="F6" s="336">
        <f t="shared" ref="F6:F12" si="1">SUM(G6:I6)</f>
        <v>0</v>
      </c>
      <c r="G6" s="343"/>
      <c r="H6" s="343"/>
      <c r="I6" s="447"/>
      <c r="J6" s="333">
        <f t="shared" ref="J6:J12" si="2">SUM(K6:M6)</f>
        <v>0</v>
      </c>
      <c r="K6" s="343"/>
      <c r="L6" s="343"/>
      <c r="M6" s="344"/>
      <c r="N6" s="336">
        <f t="shared" ref="N6:N12" si="3">SUM(O6:Q6)</f>
        <v>0</v>
      </c>
      <c r="O6" s="343"/>
      <c r="P6" s="343"/>
      <c r="Q6" s="447"/>
      <c r="R6" s="333">
        <f t="shared" ref="R6:R13" si="4">B6+F6+J6+N6</f>
        <v>0</v>
      </c>
      <c r="S6" s="343"/>
      <c r="T6" s="334">
        <f t="shared" ref="T6:T13" si="5">R6-S6</f>
        <v>0</v>
      </c>
      <c r="U6" s="445" t="e">
        <f t="shared" ref="U6:U13" si="6">T6/R6</f>
        <v>#DIV/0!</v>
      </c>
      <c r="V6" s="448"/>
    </row>
    <row r="7" spans="1:22" ht="20" customHeight="1" x14ac:dyDescent="0.25">
      <c r="A7" s="446" t="s">
        <v>345</v>
      </c>
      <c r="B7" s="336">
        <f t="shared" si="0"/>
        <v>0</v>
      </c>
      <c r="C7" s="343"/>
      <c r="D7" s="343"/>
      <c r="E7" s="344"/>
      <c r="F7" s="336">
        <f t="shared" si="1"/>
        <v>0</v>
      </c>
      <c r="G7" s="343"/>
      <c r="H7" s="343"/>
      <c r="I7" s="447"/>
      <c r="J7" s="333">
        <f t="shared" si="2"/>
        <v>0</v>
      </c>
      <c r="K7" s="343"/>
      <c r="L7" s="343"/>
      <c r="M7" s="344"/>
      <c r="N7" s="336">
        <f t="shared" si="3"/>
        <v>0</v>
      </c>
      <c r="O7" s="343"/>
      <c r="P7" s="343"/>
      <c r="Q7" s="447"/>
      <c r="R7" s="333">
        <f t="shared" si="4"/>
        <v>0</v>
      </c>
      <c r="S7" s="343"/>
      <c r="T7" s="334">
        <f t="shared" si="5"/>
        <v>0</v>
      </c>
      <c r="U7" s="445" t="e">
        <f t="shared" si="6"/>
        <v>#DIV/0!</v>
      </c>
      <c r="V7" s="448"/>
    </row>
    <row r="8" spans="1:22" ht="20" customHeight="1" x14ac:dyDescent="0.25">
      <c r="A8" s="446" t="s">
        <v>346</v>
      </c>
      <c r="B8" s="336">
        <f t="shared" si="0"/>
        <v>0</v>
      </c>
      <c r="C8" s="343"/>
      <c r="D8" s="343"/>
      <c r="E8" s="344"/>
      <c r="F8" s="336">
        <f t="shared" si="1"/>
        <v>0</v>
      </c>
      <c r="G8" s="343"/>
      <c r="H8" s="343"/>
      <c r="I8" s="447"/>
      <c r="J8" s="333">
        <f t="shared" si="2"/>
        <v>0</v>
      </c>
      <c r="K8" s="343"/>
      <c r="L8" s="343"/>
      <c r="M8" s="344"/>
      <c r="N8" s="336">
        <f t="shared" si="3"/>
        <v>0</v>
      </c>
      <c r="O8" s="343"/>
      <c r="P8" s="343"/>
      <c r="Q8" s="447"/>
      <c r="R8" s="333">
        <f t="shared" si="4"/>
        <v>0</v>
      </c>
      <c r="S8" s="343"/>
      <c r="T8" s="334">
        <f t="shared" si="5"/>
        <v>0</v>
      </c>
      <c r="U8" s="445" t="e">
        <f t="shared" si="6"/>
        <v>#DIV/0!</v>
      </c>
      <c r="V8" s="448"/>
    </row>
    <row r="9" spans="1:22" ht="20" customHeight="1" x14ac:dyDescent="0.25">
      <c r="A9" s="446" t="s">
        <v>347</v>
      </c>
      <c r="B9" s="336">
        <f t="shared" si="0"/>
        <v>0</v>
      </c>
      <c r="C9" s="343"/>
      <c r="D9" s="343"/>
      <c r="E9" s="344"/>
      <c r="F9" s="336">
        <f t="shared" si="1"/>
        <v>0</v>
      </c>
      <c r="G9" s="343"/>
      <c r="H9" s="343"/>
      <c r="I9" s="447"/>
      <c r="J9" s="333">
        <f t="shared" si="2"/>
        <v>0</v>
      </c>
      <c r="K9" s="343"/>
      <c r="L9" s="343"/>
      <c r="M9" s="344"/>
      <c r="N9" s="336">
        <f t="shared" si="3"/>
        <v>0</v>
      </c>
      <c r="O9" s="343"/>
      <c r="P9" s="343"/>
      <c r="Q9" s="447"/>
      <c r="R9" s="333">
        <f t="shared" si="4"/>
        <v>0</v>
      </c>
      <c r="S9" s="343"/>
      <c r="T9" s="334">
        <f t="shared" si="5"/>
        <v>0</v>
      </c>
      <c r="U9" s="445" t="e">
        <f t="shared" si="6"/>
        <v>#DIV/0!</v>
      </c>
      <c r="V9" s="448"/>
    </row>
    <row r="10" spans="1:22" ht="20" customHeight="1" x14ac:dyDescent="0.25">
      <c r="A10" s="446" t="s">
        <v>348</v>
      </c>
      <c r="B10" s="336">
        <f t="shared" si="0"/>
        <v>0</v>
      </c>
      <c r="C10" s="343"/>
      <c r="D10" s="343"/>
      <c r="E10" s="344"/>
      <c r="F10" s="336">
        <f t="shared" si="1"/>
        <v>0</v>
      </c>
      <c r="G10" s="343"/>
      <c r="H10" s="343"/>
      <c r="I10" s="447"/>
      <c r="J10" s="333">
        <f t="shared" si="2"/>
        <v>0</v>
      </c>
      <c r="K10" s="343"/>
      <c r="L10" s="343"/>
      <c r="M10" s="344"/>
      <c r="N10" s="336">
        <f t="shared" si="3"/>
        <v>0</v>
      </c>
      <c r="O10" s="343"/>
      <c r="P10" s="343"/>
      <c r="Q10" s="447"/>
      <c r="R10" s="333">
        <f t="shared" si="4"/>
        <v>0</v>
      </c>
      <c r="S10" s="343"/>
      <c r="T10" s="334">
        <f t="shared" si="5"/>
        <v>0</v>
      </c>
      <c r="U10" s="445" t="e">
        <f t="shared" si="6"/>
        <v>#DIV/0!</v>
      </c>
      <c r="V10" s="448"/>
    </row>
    <row r="11" spans="1:22" ht="20" customHeight="1" x14ac:dyDescent="0.25">
      <c r="A11" s="446" t="s">
        <v>349</v>
      </c>
      <c r="B11" s="336">
        <f t="shared" si="0"/>
        <v>0</v>
      </c>
      <c r="C11" s="343"/>
      <c r="D11" s="343"/>
      <c r="E11" s="344"/>
      <c r="F11" s="336">
        <f t="shared" si="1"/>
        <v>0</v>
      </c>
      <c r="G11" s="343"/>
      <c r="H11" s="343"/>
      <c r="I11" s="447"/>
      <c r="J11" s="333">
        <f t="shared" si="2"/>
        <v>0</v>
      </c>
      <c r="K11" s="343"/>
      <c r="L11" s="343"/>
      <c r="M11" s="344"/>
      <c r="N11" s="336">
        <f t="shared" si="3"/>
        <v>0</v>
      </c>
      <c r="O11" s="343"/>
      <c r="P11" s="343"/>
      <c r="Q11" s="447"/>
      <c r="R11" s="333">
        <f t="shared" si="4"/>
        <v>0</v>
      </c>
      <c r="S11" s="343"/>
      <c r="T11" s="334">
        <f t="shared" si="5"/>
        <v>0</v>
      </c>
      <c r="U11" s="445" t="e">
        <f t="shared" si="6"/>
        <v>#DIV/0!</v>
      </c>
      <c r="V11" s="448"/>
    </row>
    <row r="12" spans="1:22" ht="20" customHeight="1" x14ac:dyDescent="0.25">
      <c r="A12" s="446" t="s">
        <v>137</v>
      </c>
      <c r="B12" s="336">
        <f t="shared" si="0"/>
        <v>0</v>
      </c>
      <c r="C12" s="343"/>
      <c r="D12" s="343"/>
      <c r="E12" s="344"/>
      <c r="F12" s="336">
        <f t="shared" si="1"/>
        <v>0</v>
      </c>
      <c r="G12" s="343"/>
      <c r="H12" s="343"/>
      <c r="I12" s="447"/>
      <c r="J12" s="333">
        <f t="shared" si="2"/>
        <v>0</v>
      </c>
      <c r="K12" s="343"/>
      <c r="L12" s="343"/>
      <c r="M12" s="344"/>
      <c r="N12" s="336">
        <f t="shared" si="3"/>
        <v>0</v>
      </c>
      <c r="O12" s="343"/>
      <c r="P12" s="343"/>
      <c r="Q12" s="447"/>
      <c r="R12" s="333">
        <f t="shared" si="4"/>
        <v>0</v>
      </c>
      <c r="S12" s="343"/>
      <c r="T12" s="334">
        <f t="shared" si="5"/>
        <v>0</v>
      </c>
      <c r="U12" s="445" t="e">
        <f t="shared" si="6"/>
        <v>#DIV/0!</v>
      </c>
      <c r="V12" s="448"/>
    </row>
    <row r="13" spans="1:22" ht="20" customHeight="1" thickBot="1" x14ac:dyDescent="0.3">
      <c r="A13" s="449" t="s">
        <v>112</v>
      </c>
      <c r="B13" s="450">
        <f>C13+D13+E13</f>
        <v>0</v>
      </c>
      <c r="C13" s="450">
        <f>SUM(C5:C12)</f>
        <v>0</v>
      </c>
      <c r="D13" s="450">
        <f>SUM(D5:D12)</f>
        <v>0</v>
      </c>
      <c r="E13" s="450">
        <f>SUM(E5:E12)</f>
        <v>0</v>
      </c>
      <c r="F13" s="451">
        <f>G13+H13+I13</f>
        <v>0</v>
      </c>
      <c r="G13" s="450">
        <f>SUM(G5:G12)</f>
        <v>0</v>
      </c>
      <c r="H13" s="450">
        <f>SUM(H5:H12)</f>
        <v>0</v>
      </c>
      <c r="I13" s="450">
        <f>SUM(I5:I12)</f>
        <v>0</v>
      </c>
      <c r="J13" s="451">
        <f>K13+L13+M13</f>
        <v>0</v>
      </c>
      <c r="K13" s="450">
        <f>SUM(K5:K12)</f>
        <v>0</v>
      </c>
      <c r="L13" s="450">
        <f>SUM(L5:L12)</f>
        <v>0</v>
      </c>
      <c r="M13" s="450">
        <f>SUM(M5:M12)</f>
        <v>0</v>
      </c>
      <c r="N13" s="450">
        <f>O13+P13+Q13</f>
        <v>0</v>
      </c>
      <c r="O13" s="450">
        <f>SUM(O5:O12)</f>
        <v>0</v>
      </c>
      <c r="P13" s="450">
        <f>SUM(P5:P12)</f>
        <v>0</v>
      </c>
      <c r="Q13" s="450">
        <f>SUM(Q5:Q12)</f>
        <v>0</v>
      </c>
      <c r="R13" s="451">
        <f t="shared" si="4"/>
        <v>0</v>
      </c>
      <c r="S13" s="452"/>
      <c r="T13" s="453">
        <f t="shared" si="5"/>
        <v>0</v>
      </c>
      <c r="U13" s="454" t="e">
        <f t="shared" si="6"/>
        <v>#DIV/0!</v>
      </c>
      <c r="V13" s="325"/>
    </row>
    <row r="14" spans="1:22" ht="14.5" x14ac:dyDescent="0.4">
      <c r="A14" s="455"/>
      <c r="B14" s="456"/>
      <c r="C14" s="456"/>
      <c r="D14" s="456"/>
      <c r="E14" s="456"/>
      <c r="F14" s="456"/>
      <c r="G14" s="456"/>
      <c r="H14" s="456"/>
      <c r="I14" s="456"/>
      <c r="J14" s="456"/>
      <c r="K14" s="456"/>
      <c r="L14" s="456"/>
      <c r="M14" s="456"/>
      <c r="N14" s="456"/>
      <c r="O14" s="456"/>
      <c r="P14" s="456"/>
      <c r="Q14" s="456"/>
      <c r="R14" s="457"/>
      <c r="S14" s="457"/>
      <c r="T14" s="457"/>
      <c r="U14" s="458"/>
      <c r="V14" s="458"/>
    </row>
    <row r="15" spans="1:22" ht="14.5" x14ac:dyDescent="0.4">
      <c r="A15" s="510" t="s">
        <v>350</v>
      </c>
      <c r="B15" s="510"/>
      <c r="C15" s="510"/>
      <c r="D15" s="510"/>
      <c r="E15" s="510"/>
      <c r="F15" s="510"/>
      <c r="G15" s="510"/>
      <c r="H15" s="510"/>
      <c r="I15" s="510"/>
      <c r="J15" s="510"/>
      <c r="K15" s="510"/>
      <c r="L15" s="510"/>
      <c r="M15" s="510"/>
      <c r="N15" s="510"/>
      <c r="O15" s="459"/>
      <c r="P15" s="459"/>
      <c r="Q15" s="399"/>
      <c r="R15" s="504"/>
      <c r="S15" s="504"/>
      <c r="T15" s="504"/>
      <c r="U15" s="504"/>
      <c r="V15" s="399"/>
    </row>
    <row r="16" spans="1:22" ht="14.5" x14ac:dyDescent="0.4">
      <c r="A16" s="399" t="s">
        <v>351</v>
      </c>
      <c r="B16" s="399"/>
      <c r="C16" s="399"/>
      <c r="D16" s="399"/>
      <c r="E16" s="399"/>
      <c r="F16" s="399"/>
      <c r="G16" s="399"/>
      <c r="H16" s="399"/>
      <c r="I16" s="399"/>
      <c r="J16" s="399"/>
      <c r="K16" s="399"/>
      <c r="L16" s="399"/>
      <c r="M16" s="399"/>
      <c r="N16" s="399"/>
      <c r="O16" s="399"/>
      <c r="P16" s="399"/>
      <c r="Q16" s="399"/>
      <c r="R16" s="399"/>
      <c r="S16" s="399"/>
      <c r="T16" s="399"/>
      <c r="U16" s="399"/>
      <c r="V16" s="399"/>
    </row>
  </sheetData>
  <mergeCells count="10">
    <mergeCell ref="A15:N15"/>
    <mergeCell ref="R15:U15"/>
    <mergeCell ref="A1:V1"/>
    <mergeCell ref="A3:A4"/>
    <mergeCell ref="B3:Q3"/>
    <mergeCell ref="R3:R4"/>
    <mergeCell ref="S3:S4"/>
    <mergeCell ref="T3:T4"/>
    <mergeCell ref="U3:U4"/>
    <mergeCell ref="V3:V4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预计资金流量表</vt:lpstr>
      <vt:lpstr>主营成本支出现金预算表</vt:lpstr>
      <vt:lpstr>管理费用现金预算表</vt:lpstr>
      <vt:lpstr> 销售费用现金预算表</vt:lpstr>
      <vt:lpstr>税费支出现金预算表 </vt:lpstr>
      <vt:lpstr>投资收回现金预算表</vt:lpstr>
      <vt:lpstr>  购置非流动资产支出现金预算表</vt:lpstr>
      <vt:lpstr>投资支出</vt:lpstr>
      <vt:lpstr>财务费用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2019-01-17T02:57:44Z</dcterms:created>
  <dcterms:modified xsi:type="dcterms:W3CDTF">2019-01-17T03:46:09Z</dcterms:modified>
</cp:coreProperties>
</file>